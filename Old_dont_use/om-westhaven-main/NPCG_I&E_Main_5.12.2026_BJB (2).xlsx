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6084606183353897984/WOPIServiceId_TP_DROPBOX_PLUS/WOPIUserId_-/"/>
    </mc:Choice>
  </mc:AlternateContent>
  <xr:revisionPtr revIDLastSave="48" documentId="13_ncr:1_{9A06EA29-371D-49D0-AB4C-2B919953AA82}" xr6:coauthVersionLast="47" xr6:coauthVersionMax="47" xr10:uidLastSave="{E969DE42-077B-400E-896E-1BA9A53887D3}"/>
  <bookViews>
    <workbookView xWindow="-120" yWindow="-120" windowWidth="29040" windowHeight="15720" xr2:uid="{477F78E3-9F91-4080-A7DF-ED23F95E4EF8}"/>
  </bookViews>
  <sheets>
    <sheet name="Analysis" sheetId="1" r:id="rId1"/>
    <sheet name="RR 2.12.2026" sheetId="3" r:id="rId2"/>
    <sheet name="2025 Corrected" sheetId="2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9" i="1"/>
  <c r="R18" i="1"/>
  <c r="R17" i="1"/>
  <c r="R16" i="1"/>
  <c r="R14" i="1"/>
  <c r="R13" i="1"/>
  <c r="R12" i="1"/>
  <c r="R11" i="1"/>
  <c r="R15" i="1"/>
  <c r="R6" i="1"/>
  <c r="Q5" i="1"/>
  <c r="P5" i="1"/>
  <c r="Q4" i="1"/>
  <c r="P4" i="1"/>
  <c r="Q6" i="1" s="1"/>
  <c r="P6" i="1" l="1"/>
  <c r="K21" i="1"/>
  <c r="K9" i="1"/>
  <c r="E13" i="1"/>
  <c r="N32" i="2"/>
  <c r="M32" i="2"/>
  <c r="L32" i="2"/>
  <c r="K32" i="2"/>
  <c r="J32" i="2"/>
  <c r="I32" i="2"/>
  <c r="H32" i="2"/>
  <c r="G32" i="2"/>
  <c r="F32" i="2"/>
  <c r="E32" i="2"/>
  <c r="D32" i="2"/>
  <c r="C32" i="2"/>
  <c r="O44" i="2"/>
  <c r="O43" i="2"/>
  <c r="O41" i="2"/>
  <c r="O40" i="2"/>
  <c r="O38" i="2"/>
  <c r="O14" i="2"/>
  <c r="O31" i="2"/>
  <c r="O16" i="2"/>
  <c r="O30" i="2"/>
  <c r="O29" i="2"/>
  <c r="O28" i="2"/>
  <c r="O27" i="2"/>
  <c r="O15" i="2"/>
  <c r="O26" i="2"/>
  <c r="O25" i="2"/>
  <c r="O24" i="2"/>
  <c r="O22" i="2"/>
  <c r="O20" i="2"/>
  <c r="O21" i="2"/>
  <c r="O19" i="2"/>
  <c r="O23" i="2"/>
  <c r="O13" i="2"/>
  <c r="O18" i="2"/>
  <c r="O42" i="2"/>
  <c r="O17" i="2"/>
  <c r="O12" i="2"/>
  <c r="O32" i="2" s="1"/>
  <c r="N9" i="2"/>
  <c r="M9" i="2"/>
  <c r="L9" i="2"/>
  <c r="K9" i="2"/>
  <c r="J9" i="2"/>
  <c r="I9" i="2"/>
  <c r="H9" i="2"/>
  <c r="G9" i="2"/>
  <c r="F9" i="2"/>
  <c r="E9" i="2"/>
  <c r="D9" i="2"/>
  <c r="C9" i="2"/>
  <c r="O8" i="2"/>
  <c r="O7" i="2"/>
  <c r="O6" i="2"/>
  <c r="N34" i="2" l="1"/>
  <c r="L34" i="2"/>
  <c r="K34" i="2"/>
  <c r="J34" i="2"/>
  <c r="H34" i="2"/>
  <c r="G34" i="2"/>
  <c r="F34" i="2"/>
  <c r="E34" i="2"/>
  <c r="M34" i="2"/>
  <c r="I34" i="2"/>
  <c r="D34" i="2"/>
  <c r="C34" i="2"/>
  <c r="O9" i="2"/>
  <c r="O34" i="2" l="1"/>
  <c r="K19" i="1"/>
  <c r="H19" i="1"/>
  <c r="K12" i="1"/>
  <c r="K11" i="1"/>
  <c r="Q7" i="1" l="1"/>
  <c r="H6" i="1" l="1"/>
  <c r="H4" i="1" l="1"/>
  <c r="K4" i="1"/>
  <c r="H7" i="1" l="1"/>
  <c r="E8" i="1"/>
  <c r="Q21" i="1"/>
  <c r="E16" i="1"/>
  <c r="K10" i="1"/>
  <c r="K22" i="1"/>
  <c r="K23" i="1"/>
  <c r="K24" i="1"/>
  <c r="K25" i="1"/>
  <c r="K26" i="1"/>
  <c r="K28" i="1"/>
  <c r="K27" i="1" l="1"/>
  <c r="L27" i="1" s="1"/>
  <c r="I13" i="1"/>
  <c r="L21" i="1"/>
  <c r="L11" i="1"/>
  <c r="I12" i="1"/>
  <c r="I11" i="1"/>
  <c r="L12" i="1"/>
  <c r="I28" i="1"/>
  <c r="L23" i="1"/>
  <c r="I22" i="1"/>
  <c r="L22" i="1"/>
  <c r="I21" i="1"/>
  <c r="I10" i="1"/>
  <c r="L28" i="1"/>
  <c r="I27" i="1"/>
  <c r="L24" i="1"/>
  <c r="I23" i="1"/>
  <c r="I9" i="1"/>
  <c r="I26" i="1"/>
  <c r="L26" i="1"/>
  <c r="I25" i="1"/>
  <c r="E12" i="1"/>
  <c r="L25" i="1"/>
  <c r="I24" i="1"/>
  <c r="L10" i="1"/>
  <c r="K6" i="1"/>
  <c r="L9" i="1"/>
  <c r="K13" i="1" l="1"/>
  <c r="L13" i="1" s="1"/>
  <c r="L14" i="1" s="1"/>
  <c r="H14" i="1"/>
  <c r="K7" i="1"/>
  <c r="K8" i="1" s="1"/>
  <c r="H5" i="1"/>
  <c r="J5" i="1" s="1"/>
  <c r="I14" i="1"/>
  <c r="H8" i="1"/>
  <c r="K5" i="1"/>
  <c r="M5" i="1" s="1"/>
  <c r="K14" i="1" l="1"/>
  <c r="K16" i="1" s="1"/>
  <c r="K20" i="1" s="1"/>
  <c r="L20" i="1" s="1"/>
  <c r="H16" i="1"/>
  <c r="H20" i="1" s="1"/>
  <c r="I20" i="1" s="1"/>
  <c r="L29" i="1" l="1"/>
  <c r="K29" i="1"/>
  <c r="H29" i="1"/>
  <c r="I29" i="1"/>
  <c r="M29" i="1" l="1"/>
  <c r="J29" i="1"/>
  <c r="K31" i="1"/>
  <c r="E15" i="1" s="1"/>
  <c r="H31" i="1"/>
  <c r="E14" i="1" l="1"/>
  <c r="R21" i="1" l="1"/>
  <c r="R7" i="1"/>
  <c r="E17" i="1" s="1"/>
</calcChain>
</file>

<file path=xl/sharedStrings.xml><?xml version="1.0" encoding="utf-8"?>
<sst xmlns="http://schemas.openxmlformats.org/spreadsheetml/2006/main" count="221" uniqueCount="157">
  <si>
    <t>Operating Income</t>
  </si>
  <si>
    <t>Unit Mix</t>
  </si>
  <si>
    <t>Income</t>
  </si>
  <si>
    <t>$/Unit</t>
  </si>
  <si>
    <t>%</t>
  </si>
  <si>
    <t>Current</t>
  </si>
  <si>
    <t>Pro Forma</t>
  </si>
  <si>
    <t>Unit Type</t>
  </si>
  <si>
    <t># of Units</t>
  </si>
  <si>
    <t>Current Rent</t>
  </si>
  <si>
    <t>Property Information</t>
  </si>
  <si>
    <t>Gross Potential Rent</t>
  </si>
  <si>
    <t>Property Name</t>
  </si>
  <si>
    <t>Below Market Rent</t>
  </si>
  <si>
    <t>Address</t>
  </si>
  <si>
    <t>Gross Scheduled Rent</t>
  </si>
  <si>
    <t>City/State/Zip</t>
  </si>
  <si>
    <t>Vacancy &amp; Collections Loss</t>
  </si>
  <si>
    <t>Year Built</t>
  </si>
  <si>
    <t>Effective Rental Income</t>
  </si>
  <si>
    <t>Additional Income</t>
  </si>
  <si>
    <t>Units</t>
  </si>
  <si>
    <t>Lot Size (Acres)</t>
  </si>
  <si>
    <t>Investment Information</t>
  </si>
  <si>
    <t>Purchase Price</t>
  </si>
  <si>
    <t>Annual Total</t>
  </si>
  <si>
    <t>Price/Unit</t>
  </si>
  <si>
    <t>Average</t>
  </si>
  <si>
    <t>Price/SF</t>
  </si>
  <si>
    <t>Rent Roll</t>
  </si>
  <si>
    <t>Total Additional Income</t>
  </si>
  <si>
    <t>Unit #</t>
  </si>
  <si>
    <t>Lease Start</t>
  </si>
  <si>
    <t>Lease End</t>
  </si>
  <si>
    <t>Effective Gross Income</t>
  </si>
  <si>
    <t>Average Rent - Current</t>
  </si>
  <si>
    <t>Operating Expense</t>
  </si>
  <si>
    <t>Expense</t>
  </si>
  <si>
    <t>Average Rent - Pro Forma</t>
  </si>
  <si>
    <t>Property Management</t>
  </si>
  <si>
    <t>Real Estate Tax</t>
  </si>
  <si>
    <t>Property Insurance</t>
  </si>
  <si>
    <t>Electric</t>
  </si>
  <si>
    <t>Water and Sewer</t>
  </si>
  <si>
    <t>Trash Removal</t>
  </si>
  <si>
    <t>Repairs and Maintenance</t>
  </si>
  <si>
    <t>Landscaping/Snow Removal</t>
  </si>
  <si>
    <t>Monthly Total</t>
  </si>
  <si>
    <t>Total Expense</t>
  </si>
  <si>
    <t>Net Operating Income</t>
  </si>
  <si>
    <t>Cap Rate - Current</t>
  </si>
  <si>
    <t>Cap Rate - Pro Forma</t>
  </si>
  <si>
    <t>Building SF</t>
  </si>
  <si>
    <t>Main Street Apartments - 2025 Operating Statement (Corrected)</t>
  </si>
  <si>
    <t>300 Main Street, West Haven, CT  |  10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</si>
  <si>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</si>
  <si>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</si>
  <si>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</si>
  <si>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</si>
  <si>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</si>
  <si>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</si>
  <si>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</si>
  <si>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</si>
  <si>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</si>
  <si>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</si>
  <si>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</si>
  <si>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</si>
  <si>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</si>
  <si>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INCOME</t>
  </si>
  <si>
    <t>Rental Income</t>
  </si>
  <si>
    <t>Application Fees</t>
  </si>
  <si>
    <t>Laundry Income</t>
  </si>
  <si>
    <t>Total Operating Income</t>
  </si>
  <si>
    <t>OPERATING EXPENSES</t>
  </si>
  <si>
    <t>Bank Charges</t>
  </si>
  <si>
    <t>Heat (Corrected)</t>
  </si>
  <si>
    <t>Boiler Repair (Tri-City)</t>
  </si>
  <si>
    <t>Insurance</t>
  </si>
  <si>
    <t>Office Supplies</t>
  </si>
  <si>
    <t>Accounting &amp; Legal</t>
  </si>
  <si>
    <t>Advertising</t>
  </si>
  <si>
    <t>Management Fees</t>
  </si>
  <si>
    <t>ACH Rental Fees</t>
  </si>
  <si>
    <t>Misc. Management</t>
  </si>
  <si>
    <t>Materials</t>
  </si>
  <si>
    <t>Electrical Repair</t>
  </si>
  <si>
    <t>Plumbing Repair</t>
  </si>
  <si>
    <t>Extermination</t>
  </si>
  <si>
    <t>General Repair &amp; Maintenance</t>
  </si>
  <si>
    <t>Supplies</t>
  </si>
  <si>
    <t>Property Taxes</t>
  </si>
  <si>
    <t>Electricity</t>
  </si>
  <si>
    <t>Water</t>
  </si>
  <si>
    <t>Temp. Distribution</t>
  </si>
  <si>
    <t>Total Operating Expenses</t>
  </si>
  <si>
    <t>BELOW THE LINE</t>
  </si>
  <si>
    <t>Non-Operating Income</t>
  </si>
  <si>
    <t>Interest Income</t>
  </si>
  <si>
    <t>Non-Operating / Capital Expenses</t>
  </si>
  <si>
    <t>Interest Expense</t>
  </si>
  <si>
    <t>Interest on Security Deposit</t>
  </si>
  <si>
    <t>Capital: Plumbing (Feb)</t>
  </si>
  <si>
    <t>Capital: General R&amp;M (May)</t>
  </si>
  <si>
    <t>491 Washington Ave, West Haven, CT</t>
  </si>
  <si>
    <t>James Perez</t>
  </si>
  <si>
    <t>5 W</t>
  </si>
  <si>
    <t>Main</t>
  </si>
  <si>
    <t>Donna Cunningham</t>
  </si>
  <si>
    <t>4 W</t>
  </si>
  <si>
    <t>Latora Hall</t>
  </si>
  <si>
    <t>3 W</t>
  </si>
  <si>
    <t>Haidarshah Yaftali / Rahmatullah Mubariz</t>
  </si>
  <si>
    <t>2 W</t>
  </si>
  <si>
    <t>Sardar Mohammad / Aslam Qayoumi (co-signer)</t>
  </si>
  <si>
    <t>1 W</t>
  </si>
  <si>
    <t>300 Main St, West Haven, CT</t>
  </si>
  <si>
    <t>Yucel Otay / Yagmur Eris</t>
  </si>
  <si>
    <t>6 M</t>
  </si>
  <si>
    <t>Room</t>
  </si>
  <si>
    <t>Errol Williams</t>
  </si>
  <si>
    <t>5 M</t>
  </si>
  <si>
    <t>Nicholas Zymbaluk</t>
  </si>
  <si>
    <t>4 M</t>
  </si>
  <si>
    <t>Dawn Korik</t>
  </si>
  <si>
    <t>3 M</t>
  </si>
  <si>
    <t>Yerfry Cabrera / Ana Cabrera (co-signer)</t>
  </si>
  <si>
    <t>2 M</t>
  </si>
  <si>
    <t>Maxamina Vega (WHHA sec8)</t>
  </si>
  <si>
    <t>1 M</t>
  </si>
  <si>
    <t>Security Deposit</t>
  </si>
  <si>
    <t>Date End</t>
  </si>
  <si>
    <t>Date Leased</t>
  </si>
  <si>
    <t>Rent</t>
  </si>
  <si>
    <t>Tenant</t>
  </si>
  <si>
    <t>Unit</t>
  </si>
  <si>
    <t>Building</t>
  </si>
  <si>
    <t>admin</t>
  </si>
  <si>
    <t>gas</t>
  </si>
  <si>
    <t>Room Income</t>
  </si>
  <si>
    <t>ins</t>
  </si>
  <si>
    <t>prof</t>
  </si>
  <si>
    <t>leasing</t>
  </si>
  <si>
    <t>manage</t>
  </si>
  <si>
    <t>r&amp;m</t>
  </si>
  <si>
    <t>tax</t>
  </si>
  <si>
    <t>trash</t>
  </si>
  <si>
    <t>elec</t>
  </si>
  <si>
    <t>water</t>
  </si>
  <si>
    <t>Pet Fees</t>
  </si>
  <si>
    <t>Gas</t>
  </si>
  <si>
    <t>Contract</t>
  </si>
  <si>
    <t>Year 1</t>
  </si>
  <si>
    <t>Main Apartments</t>
  </si>
  <si>
    <t>300 Main Street</t>
  </si>
  <si>
    <t>West Haven, CT 06516</t>
  </si>
  <si>
    <t>One Bed + Dining Room</t>
  </si>
  <si>
    <t>One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</si>
</sst>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theme="0"/>
      <name val="Aptos Narrow"/>
      <family val="2"/>
      <scheme val="minor"/>
    </font>
    <font>
      <sz val="11"/>
      <color theme="1"/>
      <name val="Lato"/>
      <family val="2"/>
    </font>
    <font>
      <sz val="11"/>
      <name val="Arial"/>
      <family val="1"/>
    </font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10"/>
      <color rgb="FF88888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4753"/>
        <bgColor rgb="FF333399"/>
      </patternFill>
    </fill>
    <fill>
      <patternFill patternType="solid">
        <fgColor rgb="FFF6F2EE"/>
        <bgColor rgb="FFFFFFFF"/>
      </patternFill>
    </fill>
    <fill>
      <patternFill patternType="solid">
        <fgColor rgb="FFE8E4E0"/>
        <bgColor rgb="FFE0DEDA"/>
      </patternFill>
    </fill>
    <fill>
      <patternFill patternType="solid">
        <fgColor rgb="FFF8971D"/>
        <bgColor rgb="FFFF8080"/>
      </patternFill>
    </fill>
    <fill>
      <patternFill patternType="solid">
        <fgColor rgb="FFE0DEDA"/>
        <bgColor rgb="FFE8E4E0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rgb="FF3F475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</cellStyleXfs>
  <cellXfs count="96">
    <xf numFmtId="0" fontId="0" fillId="0" borderId="0" xfId="0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0" fontId="8" fillId="6" borderId="1" xfId="2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0" fontId="3" fillId="6" borderId="1" xfId="2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9" fillId="3" borderId="1" xfId="2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0" fontId="9" fillId="4" borderId="1" xfId="2" applyNumberFormat="1" applyFont="1" applyFill="1" applyBorder="1" applyAlignment="1">
      <alignment horizontal="center" vertical="center"/>
    </xf>
    <xf numFmtId="10" fontId="5" fillId="6" borderId="1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3" fillId="6" borderId="0" xfId="1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right" vertical="center"/>
    </xf>
    <xf numFmtId="10" fontId="3" fillId="6" borderId="3" xfId="2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65" fontId="9" fillId="6" borderId="0" xfId="1" applyNumberFormat="1" applyFont="1" applyFill="1" applyBorder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3" fillId="6" borderId="3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vertical="center"/>
    </xf>
    <xf numFmtId="10" fontId="3" fillId="5" borderId="0" xfId="2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/>
    </xf>
    <xf numFmtId="0" fontId="6" fillId="6" borderId="0" xfId="0" applyFont="1" applyFill="1" applyAlignment="1">
      <alignment vertical="center"/>
    </xf>
    <xf numFmtId="0" fontId="6" fillId="6" borderId="3" xfId="0" applyFont="1" applyFill="1" applyBorder="1" applyAlignment="1">
      <alignment vertical="center"/>
    </xf>
    <xf numFmtId="14" fontId="5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right" vertical="center"/>
    </xf>
    <xf numFmtId="0" fontId="14" fillId="0" borderId="0" xfId="5"/>
    <xf numFmtId="0" fontId="14" fillId="7" borderId="0" xfId="5" applyFill="1"/>
    <xf numFmtId="0" fontId="17" fillId="7" borderId="0" xfId="5" applyFont="1" applyFill="1" applyAlignment="1">
      <alignment horizontal="right"/>
    </xf>
    <xf numFmtId="0" fontId="18" fillId="8" borderId="0" xfId="5" applyFont="1" applyFill="1"/>
    <xf numFmtId="0" fontId="14" fillId="8" borderId="0" xfId="5" applyFill="1"/>
    <xf numFmtId="0" fontId="19" fillId="0" borderId="0" xfId="5" applyFont="1"/>
    <xf numFmtId="4" fontId="19" fillId="0" borderId="0" xfId="5" applyNumberFormat="1" applyFont="1"/>
    <xf numFmtId="0" fontId="18" fillId="9" borderId="0" xfId="5" applyFont="1" applyFill="1"/>
    <xf numFmtId="4" fontId="18" fillId="9" borderId="7" xfId="5" applyNumberFormat="1" applyFont="1" applyFill="1" applyBorder="1"/>
    <xf numFmtId="0" fontId="20" fillId="10" borderId="0" xfId="5" applyFont="1" applyFill="1"/>
    <xf numFmtId="4" fontId="20" fillId="10" borderId="0" xfId="5" applyNumberFormat="1" applyFont="1" applyFill="1"/>
    <xf numFmtId="0" fontId="18" fillId="11" borderId="0" xfId="5" applyFont="1" applyFill="1"/>
    <xf numFmtId="0" fontId="14" fillId="11" borderId="0" xfId="5" applyFill="1"/>
    <xf numFmtId="0" fontId="21" fillId="0" borderId="0" xfId="5" applyFont="1"/>
    <xf numFmtId="164" fontId="0" fillId="0" borderId="0" xfId="0" applyNumberFormat="1"/>
    <xf numFmtId="6" fontId="0" fillId="0" borderId="0" xfId="0" applyNumberFormat="1"/>
    <xf numFmtId="15" fontId="0" fillId="0" borderId="0" xfId="0" applyNumberFormat="1"/>
    <xf numFmtId="0" fontId="5" fillId="6" borderId="0" xfId="3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5" fillId="0" borderId="0" xfId="5" applyFont="1"/>
    <xf numFmtId="0" fontId="16" fillId="0" borderId="0" xfId="5" applyFont="1"/>
  </cellXfs>
  <cellStyles count="6">
    <cellStyle name="Comma" xfId="1" builtinId="3"/>
    <cellStyle name="Normal" xfId="0" builtinId="0"/>
    <cellStyle name="Normal 2" xfId="3" xr:uid="{05FC86DC-8C8F-433C-93C4-86EB0D905801}"/>
    <cellStyle name="Normal 3" xfId="4" xr:uid="{9717386E-2962-4FAF-8B40-403B858F5B6C}"/>
    <cellStyle name="Normal 4" xfId="5" xr:uid="{6B8704F0-67C6-4C5A-BC9A-32C56F203CCB}"/>
    <cellStyle name="Percent" xfId="2" builtinId="5"/>
  </cellStyles>
  <dxfs count="0"/>
  <tableStyles count="0" defaultTableStyle="TableStyleMedium2" defaultPivotStyle="PivotStyleLight16"/>
  <colors>
    <mruColors>
      <color rgb="FFDCD7D2"/>
      <color rgb="FF3F4753"/>
      <color rgb="FFB2A8A0"/>
      <color rgb="FFF89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251-0AF8-4C4B-94D1-971E7544388A}">
  <sheetPr>
    <tabColor rgb="FFF8981C"/>
  </sheetPr>
  <dimension ref="B2:T31"/>
  <sheetViews>
    <sheetView tabSelected="1" zoomScaleNormal="100" workbookViewId="0"/>
  </sheetViews>
  <sheetFormatPr defaultColWidth="9.140625" defaultRowHeight="14.25" x14ac:dyDescent="0.25"/>
  <cols>
    <col min="1" max="1" width="2.85546875" style="14" customWidth="1"/>
    <col min="2" max="2" width="11.85546875" style="14" customWidth="1"/>
    <col min="3" max="5" width="11.85546875" style="10" customWidth="1"/>
    <col min="6" max="6" width="2.85546875" style="14" customWidth="1"/>
    <col min="7" max="7" width="24.85546875" style="14" bestFit="1" customWidth="1"/>
    <col min="8" max="9" width="9.28515625" style="6" bestFit="1" customWidth="1"/>
    <col min="10" max="10" width="7.42578125" style="44" bestFit="1" customWidth="1"/>
    <col min="11" max="11" width="11.7109375" style="6" bestFit="1" customWidth="1"/>
    <col min="12" max="12" width="9.28515625" style="6" bestFit="1" customWidth="1"/>
    <col min="13" max="13" width="7.42578125" style="44" bestFit="1" customWidth="1"/>
    <col min="14" max="14" width="2.85546875" style="14" customWidth="1"/>
    <col min="15" max="16" width="20.140625" style="6" bestFit="1" customWidth="1"/>
    <col min="17" max="18" width="11.85546875" style="6" bestFit="1" customWidth="1"/>
    <col min="19" max="19" width="10.42578125" style="6" bestFit="1" customWidth="1"/>
    <col min="20" max="20" width="12" style="6" customWidth="1"/>
    <col min="21" max="16384" width="9.140625" style="14"/>
  </cols>
  <sheetData>
    <row r="2" spans="2:20" x14ac:dyDescent="0.25">
      <c r="B2" s="13" t="s">
        <v>10</v>
      </c>
      <c r="C2" s="58"/>
      <c r="D2" s="58"/>
      <c r="E2" s="58"/>
      <c r="F2" s="19"/>
      <c r="G2" s="15" t="s">
        <v>0</v>
      </c>
      <c r="H2" s="93"/>
      <c r="I2" s="93"/>
      <c r="J2" s="93"/>
      <c r="K2" s="93"/>
      <c r="L2" s="93"/>
      <c r="M2" s="93"/>
      <c r="O2" s="13" t="s">
        <v>1</v>
      </c>
      <c r="P2" s="51"/>
      <c r="Q2" s="51"/>
      <c r="R2" s="51"/>
      <c r="S2" s="51"/>
      <c r="T2" s="51"/>
    </row>
    <row r="3" spans="2:20" ht="15" thickBot="1" x14ac:dyDescent="0.3">
      <c r="B3" s="16" t="s">
        <v>12</v>
      </c>
      <c r="D3" s="62"/>
      <c r="E3" s="62" t="s">
        <v>152</v>
      </c>
      <c r="F3" s="19"/>
      <c r="G3" s="17" t="s">
        <v>2</v>
      </c>
      <c r="H3" s="1" t="s">
        <v>151</v>
      </c>
      <c r="I3" s="2" t="s">
        <v>3</v>
      </c>
      <c r="J3" s="3" t="s">
        <v>4</v>
      </c>
      <c r="K3" s="1" t="s">
        <v>6</v>
      </c>
      <c r="L3" s="2" t="s">
        <v>3</v>
      </c>
      <c r="M3" s="3" t="s">
        <v>4</v>
      </c>
      <c r="O3" s="4" t="s">
        <v>7</v>
      </c>
      <c r="P3" s="4" t="s">
        <v>8</v>
      </c>
      <c r="Q3" s="5" t="s">
        <v>9</v>
      </c>
      <c r="R3" s="46" t="s">
        <v>6</v>
      </c>
      <c r="S3" s="4"/>
      <c r="T3" s="4"/>
    </row>
    <row r="4" spans="2:20" x14ac:dyDescent="0.25">
      <c r="B4" s="16" t="s">
        <v>14</v>
      </c>
      <c r="D4" s="62"/>
      <c r="E4" s="62" t="s">
        <v>153</v>
      </c>
      <c r="F4" s="19"/>
      <c r="G4" s="18" t="s">
        <v>11</v>
      </c>
      <c r="H4" s="28">
        <f>R6</f>
        <v>208800</v>
      </c>
      <c r="I4" s="29"/>
      <c r="J4" s="30"/>
      <c r="K4" s="28">
        <f>$R$6</f>
        <v>208800</v>
      </c>
      <c r="L4" s="29"/>
      <c r="M4" s="30"/>
      <c r="O4" s="7" t="s">
        <v>156</v>
      </c>
      <c r="P4" s="55">
        <f>IF(O4="*Insert Unit Type*","",COUNTIF($P$11:$P$29,O4))</f>
        <v>2</v>
      </c>
      <c r="Q4" s="45">
        <f>IF(O4="*Insert Unit Type*","",(AVERAGEIF($P$11:$P$29,O4,$Q$11:$Q$29)))</f>
        <v>977.5</v>
      </c>
      <c r="R4" s="8">
        <v>1500</v>
      </c>
    </row>
    <row r="5" spans="2:20" x14ac:dyDescent="0.25">
      <c r="B5" s="16" t="s">
        <v>16</v>
      </c>
      <c r="D5" s="62"/>
      <c r="E5" s="92" t="s">
        <v>154</v>
      </c>
      <c r="F5" s="19"/>
      <c r="G5" s="19" t="s">
        <v>13</v>
      </c>
      <c r="H5" s="31">
        <f>H6-H4</f>
        <v>-63018</v>
      </c>
      <c r="J5" s="32">
        <f>IFERROR(H5/H6,0)</f>
        <v>-0.43227558957896034</v>
      </c>
      <c r="K5" s="31">
        <f>K6-K4</f>
        <v>0</v>
      </c>
      <c r="M5" s="32">
        <f>IFERROR(K5/K6,0)</f>
        <v>0</v>
      </c>
      <c r="O5" s="7" t="s">
        <v>155</v>
      </c>
      <c r="P5" s="55">
        <f>IF(O5="*Insert Unit Type*","",COUNTIF($P$11:$P$29,O5))</f>
        <v>8</v>
      </c>
      <c r="Q5" s="45">
        <f>IF(O5="*Insert Unit Type*","",(AVERAGEIF($P$11:$P$29,O5,$Q$11:$Q$29)))</f>
        <v>1201.875</v>
      </c>
      <c r="R5" s="8">
        <v>1800</v>
      </c>
    </row>
    <row r="6" spans="2:20" x14ac:dyDescent="0.25">
      <c r="B6" s="16" t="s">
        <v>18</v>
      </c>
      <c r="D6" s="62"/>
      <c r="E6" s="62">
        <v>1940</v>
      </c>
      <c r="F6" s="19"/>
      <c r="G6" s="18" t="s">
        <v>15</v>
      </c>
      <c r="H6" s="28">
        <f>Q6*1.05</f>
        <v>145782</v>
      </c>
      <c r="I6" s="29"/>
      <c r="J6" s="30"/>
      <c r="K6" s="28">
        <f>R6</f>
        <v>208800</v>
      </c>
      <c r="L6" s="29"/>
      <c r="M6" s="30"/>
      <c r="O6" s="11" t="s">
        <v>25</v>
      </c>
      <c r="P6" s="12">
        <f>SUM(P4:P5)</f>
        <v>10</v>
      </c>
      <c r="Q6" s="52">
        <f>SUMPRODUCT($P$4:$P$5,Q4:Q5)*12</f>
        <v>138840</v>
      </c>
      <c r="R6" s="52">
        <f>SUMPRODUCT($P$4:$P$5,R4:R5)*12</f>
        <v>208800</v>
      </c>
      <c r="S6" s="12"/>
      <c r="T6" s="12"/>
    </row>
    <row r="7" spans="2:20" x14ac:dyDescent="0.25">
      <c r="B7" s="16" t="s">
        <v>52</v>
      </c>
      <c r="D7" s="62"/>
      <c r="E7" s="74">
        <v>8801</v>
      </c>
      <c r="F7" s="19"/>
      <c r="G7" s="19" t="s">
        <v>17</v>
      </c>
      <c r="H7" s="31">
        <f>-ABS(H6*J7)</f>
        <v>-7289.1</v>
      </c>
      <c r="J7" s="42">
        <v>0.05</v>
      </c>
      <c r="K7" s="31">
        <f>-ABS(K6*M7)</f>
        <v>-10440</v>
      </c>
      <c r="M7" s="42">
        <v>0.05</v>
      </c>
      <c r="O7" s="26" t="s">
        <v>27</v>
      </c>
      <c r="P7" s="53"/>
      <c r="Q7" s="54">
        <f>IFERROR(AVERAGE(Q11:Q20),0)</f>
        <v>1157</v>
      </c>
      <c r="R7" s="54">
        <f>IFERROR(AVERAGE(R11:R20),0)</f>
        <v>1740</v>
      </c>
      <c r="S7" s="53"/>
      <c r="T7" s="53"/>
    </row>
    <row r="8" spans="2:20" x14ac:dyDescent="0.25">
      <c r="B8" s="16" t="s">
        <v>21</v>
      </c>
      <c r="D8" s="63"/>
      <c r="E8" s="63">
        <f>P6</f>
        <v>10</v>
      </c>
      <c r="F8" s="19"/>
      <c r="G8" s="20" t="s">
        <v>19</v>
      </c>
      <c r="H8" s="33">
        <f>SUM(H6:H7)</f>
        <v>138492.9</v>
      </c>
      <c r="I8" s="34"/>
      <c r="J8" s="35"/>
      <c r="K8" s="33">
        <f>SUM(K6:K7)</f>
        <v>198360</v>
      </c>
      <c r="L8" s="34"/>
      <c r="M8" s="35"/>
    </row>
    <row r="9" spans="2:20" x14ac:dyDescent="0.25">
      <c r="B9" s="16" t="s">
        <v>22</v>
      </c>
      <c r="D9" s="62"/>
      <c r="E9" s="62">
        <v>0.21</v>
      </c>
      <c r="F9" s="19"/>
      <c r="G9" s="21" t="s">
        <v>138</v>
      </c>
      <c r="H9" s="36">
        <v>3720</v>
      </c>
      <c r="I9" s="57">
        <f>IFERROR(H9/$E$8,0)</f>
        <v>372</v>
      </c>
      <c r="J9" s="32"/>
      <c r="K9" s="31">
        <f t="shared" ref="K9:K13" si="0">H9</f>
        <v>3720</v>
      </c>
      <c r="L9" s="57">
        <f>IFERROR(K9/$E$8,0)</f>
        <v>372</v>
      </c>
      <c r="M9" s="32"/>
      <c r="O9" s="13" t="s">
        <v>29</v>
      </c>
      <c r="P9" s="27"/>
      <c r="Q9" s="27"/>
      <c r="R9" s="27"/>
      <c r="S9" s="27"/>
      <c r="T9" s="27"/>
    </row>
    <row r="10" spans="2:20" ht="15" thickBot="1" x14ac:dyDescent="0.3">
      <c r="B10" s="13" t="s">
        <v>23</v>
      </c>
      <c r="C10" s="65"/>
      <c r="D10" s="65"/>
      <c r="E10" s="65"/>
      <c r="F10" s="19"/>
      <c r="G10" s="21" t="s">
        <v>70</v>
      </c>
      <c r="H10" s="36">
        <v>50</v>
      </c>
      <c r="I10" s="57">
        <f>IFERROR(H10/$E$8,0)</f>
        <v>5</v>
      </c>
      <c r="J10" s="32"/>
      <c r="K10" s="31">
        <f t="shared" si="0"/>
        <v>50</v>
      </c>
      <c r="L10" s="57">
        <f>IFERROR(K10/$E$8,0)</f>
        <v>5</v>
      </c>
      <c r="M10" s="32"/>
      <c r="O10" s="47" t="s">
        <v>31</v>
      </c>
      <c r="P10" s="47" t="s">
        <v>7</v>
      </c>
      <c r="Q10" s="46" t="s">
        <v>9</v>
      </c>
      <c r="R10" s="5" t="s">
        <v>6</v>
      </c>
      <c r="S10" s="47" t="s">
        <v>32</v>
      </c>
      <c r="T10" s="47" t="s">
        <v>33</v>
      </c>
    </row>
    <row r="11" spans="2:20" x14ac:dyDescent="0.25">
      <c r="B11" s="16" t="s">
        <v>24</v>
      </c>
      <c r="D11" s="64"/>
      <c r="E11" s="64">
        <v>1400000</v>
      </c>
      <c r="F11" s="19"/>
      <c r="G11" s="21" t="s">
        <v>71</v>
      </c>
      <c r="H11" s="36">
        <v>509.75</v>
      </c>
      <c r="I11" s="57">
        <f>IFERROR(H11/$E$8,0)</f>
        <v>50.975000000000001</v>
      </c>
      <c r="J11" s="32"/>
      <c r="K11" s="31">
        <f t="shared" si="0"/>
        <v>509.75</v>
      </c>
      <c r="L11" s="57">
        <f>IFERROR(K11/$E$8,0)</f>
        <v>50.975000000000001</v>
      </c>
      <c r="M11" s="32"/>
      <c r="O11" s="7" t="s">
        <v>128</v>
      </c>
      <c r="P11" s="7" t="s">
        <v>155</v>
      </c>
      <c r="Q11" s="56">
        <v>1185</v>
      </c>
      <c r="R11" s="9">
        <f t="shared" ref="R11:R20" si="1">IF(P11="*Insert Unit Type*","",_xlfn.XLOOKUP(P11,$O$4:$O$5,$R$4:$R$5,""))</f>
        <v>1800</v>
      </c>
      <c r="S11" s="73">
        <v>45839</v>
      </c>
      <c r="T11" s="73">
        <v>46203</v>
      </c>
    </row>
    <row r="12" spans="2:20" x14ac:dyDescent="0.25">
      <c r="B12" s="16" t="s">
        <v>26</v>
      </c>
      <c r="D12" s="61"/>
      <c r="E12" s="61">
        <f>IFERROR(E11/E8,0)</f>
        <v>140000</v>
      </c>
      <c r="F12" s="19"/>
      <c r="G12" s="21" t="s">
        <v>148</v>
      </c>
      <c r="H12" s="36">
        <v>1200</v>
      </c>
      <c r="I12" s="57">
        <f>IFERROR(H12/$E$8,0)</f>
        <v>120</v>
      </c>
      <c r="J12" s="32"/>
      <c r="K12" s="31">
        <f t="shared" si="0"/>
        <v>1200</v>
      </c>
      <c r="L12" s="57">
        <f>IFERROR(K12/$E$8,0)</f>
        <v>120</v>
      </c>
      <c r="M12" s="32"/>
      <c r="O12" s="7" t="s">
        <v>126</v>
      </c>
      <c r="P12" s="7" t="s">
        <v>155</v>
      </c>
      <c r="Q12" s="56">
        <v>1205</v>
      </c>
      <c r="R12" s="9">
        <f t="shared" si="1"/>
        <v>1800</v>
      </c>
      <c r="S12" s="73">
        <v>45992</v>
      </c>
      <c r="T12" s="73">
        <v>46265</v>
      </c>
    </row>
    <row r="13" spans="2:20" x14ac:dyDescent="0.25">
      <c r="B13" s="22" t="s">
        <v>28</v>
      </c>
      <c r="C13" s="66"/>
      <c r="D13" s="66"/>
      <c r="E13" s="66">
        <f>E11/E7</f>
        <v>159.07283263265538</v>
      </c>
      <c r="F13" s="19"/>
      <c r="G13" s="21" t="s">
        <v>20</v>
      </c>
      <c r="H13" s="36">
        <v>1000</v>
      </c>
      <c r="I13" s="57">
        <f>IFERROR(H13/$E$8,0)</f>
        <v>100</v>
      </c>
      <c r="J13" s="32"/>
      <c r="K13" s="31">
        <f t="shared" si="0"/>
        <v>1000</v>
      </c>
      <c r="L13" s="57">
        <f>IFERROR(K13/$E$8,0)</f>
        <v>100</v>
      </c>
      <c r="M13" s="32"/>
      <c r="O13" s="7" t="s">
        <v>124</v>
      </c>
      <c r="P13" s="7" t="s">
        <v>155</v>
      </c>
      <c r="Q13" s="56">
        <v>1210</v>
      </c>
      <c r="R13" s="9">
        <f t="shared" si="1"/>
        <v>1800</v>
      </c>
      <c r="S13" s="73">
        <v>45870</v>
      </c>
      <c r="T13" s="73">
        <v>46234</v>
      </c>
    </row>
    <row r="14" spans="2:20" x14ac:dyDescent="0.25">
      <c r="B14" s="71" t="s">
        <v>50</v>
      </c>
      <c r="D14" s="59"/>
      <c r="E14" s="59">
        <f>H31/E11</f>
        <v>4.8878699428571426E-2</v>
      </c>
      <c r="F14" s="19"/>
      <c r="G14" s="23" t="s">
        <v>30</v>
      </c>
      <c r="H14" s="37">
        <f>SUM(H9:H13)</f>
        <v>6479.75</v>
      </c>
      <c r="I14" s="37">
        <f>SUM(I9:I13)</f>
        <v>647.97500000000002</v>
      </c>
      <c r="J14" s="38"/>
      <c r="K14" s="37">
        <f>SUM(K9:K13)</f>
        <v>6479.75</v>
      </c>
      <c r="L14" s="37">
        <f>SUM(L9:L13)</f>
        <v>647.97500000000002</v>
      </c>
      <c r="M14" s="38"/>
      <c r="O14" s="7" t="s">
        <v>122</v>
      </c>
      <c r="P14" s="7" t="s">
        <v>155</v>
      </c>
      <c r="Q14" s="56">
        <v>1210</v>
      </c>
      <c r="R14" s="9">
        <f t="shared" si="1"/>
        <v>1800</v>
      </c>
      <c r="S14" s="73">
        <v>45870</v>
      </c>
      <c r="T14" s="73">
        <v>46234</v>
      </c>
    </row>
    <row r="15" spans="2:20" x14ac:dyDescent="0.25">
      <c r="B15" s="72" t="s">
        <v>51</v>
      </c>
      <c r="C15" s="70"/>
      <c r="D15" s="60"/>
      <c r="E15" s="60">
        <f>K31/E11</f>
        <v>8.9502803000000006E-2</v>
      </c>
      <c r="F15" s="19"/>
      <c r="G15" s="19"/>
      <c r="H15" s="31"/>
      <c r="J15" s="32"/>
      <c r="K15" s="31"/>
      <c r="M15" s="32"/>
      <c r="O15" s="7" t="s">
        <v>117</v>
      </c>
      <c r="P15" s="7" t="s">
        <v>156</v>
      </c>
      <c r="Q15" s="56">
        <v>995</v>
      </c>
      <c r="R15" s="9">
        <f>IF(P15="*Insert Unit Type*","",_xlfn.XLOOKUP(P15,$O$4:$O$5,$R$4:$R$5,""))</f>
        <v>1500</v>
      </c>
      <c r="S15" s="73">
        <v>45839</v>
      </c>
      <c r="T15" s="73">
        <v>46203</v>
      </c>
    </row>
    <row r="16" spans="2:20" x14ac:dyDescent="0.25">
      <c r="B16" s="16" t="s">
        <v>35</v>
      </c>
      <c r="D16" s="61"/>
      <c r="E16" s="61">
        <f>Q7</f>
        <v>1157</v>
      </c>
      <c r="F16" s="19"/>
      <c r="G16" s="24" t="s">
        <v>34</v>
      </c>
      <c r="H16" s="39">
        <f>H8+H14</f>
        <v>144972.65</v>
      </c>
      <c r="I16" s="40"/>
      <c r="J16" s="41"/>
      <c r="K16" s="39">
        <f>K8+K14</f>
        <v>204839.75</v>
      </c>
      <c r="L16" s="40"/>
      <c r="M16" s="41"/>
      <c r="O16" s="7" t="s">
        <v>114</v>
      </c>
      <c r="P16" s="7" t="s">
        <v>155</v>
      </c>
      <c r="Q16" s="56">
        <v>1260</v>
      </c>
      <c r="R16" s="9">
        <f t="shared" ref="R16:R20" si="2">IF(P16="*Insert Unit Type*","",_xlfn.XLOOKUP(P16,$O$4:$O$5,$R$4:$R$5,""))</f>
        <v>1800</v>
      </c>
      <c r="S16" s="73">
        <v>45839</v>
      </c>
      <c r="T16" s="73">
        <v>46203</v>
      </c>
    </row>
    <row r="17" spans="2:20" x14ac:dyDescent="0.25">
      <c r="B17" s="16" t="s">
        <v>38</v>
      </c>
      <c r="D17" s="61"/>
      <c r="E17" s="61">
        <f>R7</f>
        <v>1740</v>
      </c>
      <c r="F17" s="19"/>
      <c r="G17" s="19"/>
      <c r="J17" s="32"/>
      <c r="M17" s="32"/>
      <c r="O17" s="7" t="s">
        <v>112</v>
      </c>
      <c r="P17" s="7" t="s">
        <v>155</v>
      </c>
      <c r="Q17" s="56">
        <v>1180</v>
      </c>
      <c r="R17" s="9">
        <f t="shared" si="2"/>
        <v>1800</v>
      </c>
      <c r="S17" s="73">
        <v>45901</v>
      </c>
      <c r="T17" s="73">
        <v>46265</v>
      </c>
    </row>
    <row r="18" spans="2:20" x14ac:dyDescent="0.25">
      <c r="F18" s="19"/>
      <c r="G18" s="15" t="s">
        <v>36</v>
      </c>
      <c r="H18" s="93" t="s">
        <v>5</v>
      </c>
      <c r="I18" s="93"/>
      <c r="J18" s="93"/>
      <c r="K18" s="93" t="s">
        <v>6</v>
      </c>
      <c r="L18" s="93"/>
      <c r="M18" s="93"/>
      <c r="O18" s="7" t="s">
        <v>110</v>
      </c>
      <c r="P18" s="7" t="s">
        <v>155</v>
      </c>
      <c r="Q18" s="56">
        <v>1185</v>
      </c>
      <c r="R18" s="9">
        <f t="shared" si="2"/>
        <v>1800</v>
      </c>
      <c r="S18" s="73">
        <v>45839</v>
      </c>
      <c r="T18" s="73">
        <v>46203</v>
      </c>
    </row>
    <row r="19" spans="2:20" x14ac:dyDescent="0.25">
      <c r="F19" s="19"/>
      <c r="G19" s="17" t="s">
        <v>37</v>
      </c>
      <c r="H19" s="1" t="str">
        <f>H3</f>
        <v>Year 1</v>
      </c>
      <c r="I19" s="2" t="s">
        <v>3</v>
      </c>
      <c r="J19" s="3" t="s">
        <v>4</v>
      </c>
      <c r="K19" s="1" t="str">
        <f>K3</f>
        <v>Pro Forma</v>
      </c>
      <c r="L19" s="2" t="s">
        <v>3</v>
      </c>
      <c r="M19" s="3" t="s">
        <v>4</v>
      </c>
      <c r="O19" s="7" t="s">
        <v>108</v>
      </c>
      <c r="P19" s="7" t="s">
        <v>155</v>
      </c>
      <c r="Q19" s="56">
        <v>1180</v>
      </c>
      <c r="R19" s="9">
        <f t="shared" si="2"/>
        <v>1800</v>
      </c>
      <c r="S19" s="73">
        <v>45839</v>
      </c>
      <c r="T19" s="73">
        <v>46203</v>
      </c>
    </row>
    <row r="20" spans="2:20" x14ac:dyDescent="0.25">
      <c r="F20" s="19"/>
      <c r="G20" s="21" t="s">
        <v>39</v>
      </c>
      <c r="H20" s="31">
        <f>H16*J20</f>
        <v>7248.6324999999997</v>
      </c>
      <c r="I20" s="57">
        <f t="shared" ref="I20:I28" si="3">IFERROR(H20/$E$8,0)</f>
        <v>724.86324999999999</v>
      </c>
      <c r="J20" s="42">
        <v>0.05</v>
      </c>
      <c r="K20" s="31">
        <f>K16*M20</f>
        <v>10241.987500000001</v>
      </c>
      <c r="L20" s="57">
        <f t="shared" ref="L20:L28" si="4">IFERROR(K20/$E$8,0)</f>
        <v>1024.19875</v>
      </c>
      <c r="M20" s="42">
        <v>0.05</v>
      </c>
      <c r="O20" s="7" t="s">
        <v>105</v>
      </c>
      <c r="P20" s="7" t="s">
        <v>156</v>
      </c>
      <c r="Q20" s="56">
        <v>960</v>
      </c>
      <c r="R20" s="9">
        <f t="shared" si="2"/>
        <v>1500</v>
      </c>
      <c r="S20" s="73">
        <v>45901</v>
      </c>
      <c r="T20" s="73">
        <v>46265</v>
      </c>
    </row>
    <row r="21" spans="2:20" x14ac:dyDescent="0.25">
      <c r="F21" s="19"/>
      <c r="G21" s="21" t="s">
        <v>40</v>
      </c>
      <c r="H21" s="36">
        <v>26281.1283</v>
      </c>
      <c r="I21" s="57">
        <f t="shared" si="3"/>
        <v>2628.11283</v>
      </c>
      <c r="J21" s="32"/>
      <c r="K21" s="31">
        <f>H21</f>
        <v>26281.1283</v>
      </c>
      <c r="L21" s="57">
        <f t="shared" si="4"/>
        <v>2628.11283</v>
      </c>
      <c r="M21" s="32"/>
      <c r="O21" s="25" t="s">
        <v>47</v>
      </c>
      <c r="P21" s="48"/>
      <c r="Q21" s="49">
        <f>SUM(Q11:Q20)</f>
        <v>11570</v>
      </c>
      <c r="R21" s="50">
        <f>SUM(R11:R20)</f>
        <v>17400</v>
      </c>
      <c r="S21" s="12"/>
      <c r="T21" s="12"/>
    </row>
    <row r="22" spans="2:20" x14ac:dyDescent="0.25">
      <c r="F22" s="19"/>
      <c r="G22" s="21" t="s">
        <v>41</v>
      </c>
      <c r="H22" s="36">
        <v>10346.970000000001</v>
      </c>
      <c r="I22" s="57">
        <f t="shared" si="3"/>
        <v>1034.6970000000001</v>
      </c>
      <c r="J22" s="32"/>
      <c r="K22" s="31">
        <f t="shared" ref="K22:K28" si="5">H22</f>
        <v>10346.970000000001</v>
      </c>
      <c r="L22" s="57">
        <f t="shared" si="4"/>
        <v>1034.6970000000001</v>
      </c>
      <c r="M22" s="32"/>
    </row>
    <row r="23" spans="2:20" x14ac:dyDescent="0.25">
      <c r="F23" s="19"/>
      <c r="G23" s="21" t="s">
        <v>42</v>
      </c>
      <c r="H23" s="36">
        <v>2281.84</v>
      </c>
      <c r="I23" s="57">
        <f t="shared" si="3"/>
        <v>228.18400000000003</v>
      </c>
      <c r="J23" s="32"/>
      <c r="K23" s="31">
        <f t="shared" si="5"/>
        <v>2281.84</v>
      </c>
      <c r="L23" s="57">
        <f t="shared" si="4"/>
        <v>228.18400000000003</v>
      </c>
      <c r="M23" s="32"/>
    </row>
    <row r="24" spans="2:20" x14ac:dyDescent="0.25">
      <c r="F24" s="19"/>
      <c r="G24" s="21" t="s">
        <v>149</v>
      </c>
      <c r="H24" s="36">
        <v>12066.069999999998</v>
      </c>
      <c r="I24" s="57">
        <f t="shared" si="3"/>
        <v>1206.6069999999997</v>
      </c>
      <c r="J24" s="32"/>
      <c r="K24" s="31">
        <f t="shared" si="5"/>
        <v>12066.069999999998</v>
      </c>
      <c r="L24" s="57">
        <f t="shared" si="4"/>
        <v>1206.6069999999997</v>
      </c>
      <c r="M24" s="32"/>
    </row>
    <row r="25" spans="2:20" x14ac:dyDescent="0.25">
      <c r="F25" s="19"/>
      <c r="G25" s="21" t="s">
        <v>43</v>
      </c>
      <c r="H25" s="36">
        <v>9145.91</v>
      </c>
      <c r="I25" s="57">
        <f t="shared" si="3"/>
        <v>914.59100000000001</v>
      </c>
      <c r="J25" s="32"/>
      <c r="K25" s="31">
        <f t="shared" si="5"/>
        <v>9145.91</v>
      </c>
      <c r="L25" s="57">
        <f t="shared" si="4"/>
        <v>914.59100000000001</v>
      </c>
      <c r="M25" s="32"/>
    </row>
    <row r="26" spans="2:20" x14ac:dyDescent="0.25">
      <c r="F26" s="19"/>
      <c r="G26" s="21" t="s">
        <v>44</v>
      </c>
      <c r="H26" s="36">
        <v>2671.92</v>
      </c>
      <c r="I26" s="57">
        <f t="shared" si="3"/>
        <v>267.19200000000001</v>
      </c>
      <c r="J26" s="32"/>
      <c r="K26" s="31">
        <f t="shared" si="5"/>
        <v>2671.92</v>
      </c>
      <c r="L26" s="57">
        <f t="shared" si="4"/>
        <v>267.19200000000001</v>
      </c>
      <c r="M26" s="32"/>
    </row>
    <row r="27" spans="2:20" x14ac:dyDescent="0.25">
      <c r="F27" s="19"/>
      <c r="G27" s="21" t="s">
        <v>45</v>
      </c>
      <c r="H27" s="36">
        <v>5000</v>
      </c>
      <c r="I27" s="57">
        <f t="shared" si="3"/>
        <v>500</v>
      </c>
      <c r="J27" s="32"/>
      <c r="K27" s="31">
        <f t="shared" si="5"/>
        <v>5000</v>
      </c>
      <c r="L27" s="57">
        <f t="shared" si="4"/>
        <v>500</v>
      </c>
      <c r="M27" s="32"/>
    </row>
    <row r="28" spans="2:20" x14ac:dyDescent="0.25">
      <c r="F28" s="19"/>
      <c r="G28" s="21" t="s">
        <v>46</v>
      </c>
      <c r="H28" s="36">
        <v>1500</v>
      </c>
      <c r="I28" s="57">
        <f t="shared" si="3"/>
        <v>150</v>
      </c>
      <c r="J28" s="32"/>
      <c r="K28" s="31">
        <f t="shared" si="5"/>
        <v>1500</v>
      </c>
      <c r="L28" s="57">
        <f t="shared" si="4"/>
        <v>150</v>
      </c>
      <c r="M28" s="32"/>
    </row>
    <row r="29" spans="2:20" x14ac:dyDescent="0.25">
      <c r="F29" s="19"/>
      <c r="G29" s="20" t="s">
        <v>48</v>
      </c>
      <c r="H29" s="33">
        <f>SUM(H20:H28)</f>
        <v>76542.470799999996</v>
      </c>
      <c r="I29" s="33">
        <f>SUM(I20:I28)</f>
        <v>7654.247080000001</v>
      </c>
      <c r="J29" s="35">
        <f>IFERROR(H29/H16,0)</f>
        <v>0.52797869667140662</v>
      </c>
      <c r="K29" s="33">
        <f>SUM(K20:K28)</f>
        <v>79535.825799999991</v>
      </c>
      <c r="L29" s="33">
        <f>SUM(L20:L28)</f>
        <v>7953.5825800000002</v>
      </c>
      <c r="M29" s="35">
        <f>IFERROR(K29/K16,0)</f>
        <v>0.38828316183748512</v>
      </c>
    </row>
    <row r="30" spans="2:20" x14ac:dyDescent="0.25">
      <c r="F30" s="19"/>
      <c r="G30" s="19"/>
      <c r="H30" s="31"/>
      <c r="J30" s="32"/>
      <c r="K30" s="31"/>
      <c r="M30" s="32"/>
    </row>
    <row r="31" spans="2:20" x14ac:dyDescent="0.25">
      <c r="F31" s="19"/>
      <c r="G31" s="67" t="s">
        <v>49</v>
      </c>
      <c r="H31" s="69">
        <f>H16-H29</f>
        <v>68430.179199999999</v>
      </c>
      <c r="I31" s="43"/>
      <c r="J31" s="68"/>
      <c r="K31" s="69">
        <f>K16-K29</f>
        <v>125303.92420000001</v>
      </c>
      <c r="L31" s="43"/>
      <c r="M31" s="68"/>
    </row>
  </sheetData>
  <mergeCells count="4">
    <mergeCell ref="H2:J2"/>
    <mergeCell ref="K2:M2"/>
    <mergeCell ref="H18:J18"/>
    <mergeCell ref="K18:M18"/>
  </mergeCells>
  <pageMargins left="0.7" right="0.7" top="0.75" bottom="0.75" header="0.3" footer="0.3"/>
  <pageSetup orientation="portrait" horizontalDpi="1200" verticalDpi="1200" r:id="rId1"/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F2A2-B6DC-4917-90F6-B5F350C1E5FE}">
  <dimension ref="A1:I14"/>
  <sheetViews>
    <sheetView workbookViewId="0">
      <selection activeCell="F2" sqref="F2:G12"/>
    </sheetView>
  </sheetViews>
  <sheetFormatPr defaultRowHeight="15" x14ac:dyDescent="0.25"/>
  <cols>
    <col min="3" max="3" width="44.85546875" bestFit="1" customWidth="1"/>
    <col min="4" max="4" width="9.140625" style="89"/>
    <col min="6" max="6" width="11.5703125" bestFit="1" customWidth="1"/>
    <col min="7" max="7" width="9.7109375" bestFit="1" customWidth="1"/>
    <col min="8" max="8" width="15.140625" bestFit="1" customWidth="1"/>
    <col min="9" max="9" width="33.42578125" bestFit="1" customWidth="1"/>
  </cols>
  <sheetData>
    <row r="1" spans="1:9" x14ac:dyDescent="0.25">
      <c r="A1" t="s">
        <v>135</v>
      </c>
      <c r="B1" t="s">
        <v>134</v>
      </c>
      <c r="C1" t="s">
        <v>133</v>
      </c>
      <c r="D1" s="89" t="s">
        <v>132</v>
      </c>
      <c r="E1" t="s">
        <v>7</v>
      </c>
      <c r="F1" t="s">
        <v>131</v>
      </c>
      <c r="G1" t="s">
        <v>130</v>
      </c>
      <c r="H1" t="s">
        <v>129</v>
      </c>
      <c r="I1" t="s">
        <v>14</v>
      </c>
    </row>
    <row r="2" spans="1:9" x14ac:dyDescent="0.25">
      <c r="A2" t="s">
        <v>106</v>
      </c>
      <c r="B2" t="s">
        <v>128</v>
      </c>
      <c r="C2" t="s">
        <v>127</v>
      </c>
      <c r="D2" s="89">
        <v>1185</v>
      </c>
      <c r="E2">
        <v>1</v>
      </c>
      <c r="F2" s="91">
        <v>45839</v>
      </c>
      <c r="G2" s="91">
        <v>46203</v>
      </c>
      <c r="H2" s="90">
        <v>1075</v>
      </c>
      <c r="I2" t="s">
        <v>115</v>
      </c>
    </row>
    <row r="3" spans="1:9" x14ac:dyDescent="0.25">
      <c r="A3" t="s">
        <v>106</v>
      </c>
      <c r="B3" t="s">
        <v>126</v>
      </c>
      <c r="C3" t="s">
        <v>125</v>
      </c>
      <c r="D3" s="89">
        <v>1205</v>
      </c>
      <c r="E3">
        <v>1</v>
      </c>
      <c r="F3" s="91">
        <v>45992</v>
      </c>
      <c r="G3" s="91">
        <v>46265</v>
      </c>
      <c r="H3" s="90">
        <v>2240</v>
      </c>
      <c r="I3" t="s">
        <v>115</v>
      </c>
    </row>
    <row r="4" spans="1:9" x14ac:dyDescent="0.25">
      <c r="A4" t="s">
        <v>106</v>
      </c>
      <c r="B4" t="s">
        <v>124</v>
      </c>
      <c r="C4" t="s">
        <v>123</v>
      </c>
      <c r="D4" s="89">
        <v>1210</v>
      </c>
      <c r="E4">
        <v>1</v>
      </c>
      <c r="F4" s="91">
        <v>45870</v>
      </c>
      <c r="G4" s="91">
        <v>46234</v>
      </c>
      <c r="H4" s="90">
        <v>1210</v>
      </c>
      <c r="I4" t="s">
        <v>115</v>
      </c>
    </row>
    <row r="5" spans="1:9" x14ac:dyDescent="0.25">
      <c r="A5" t="s">
        <v>106</v>
      </c>
      <c r="B5" t="s">
        <v>122</v>
      </c>
      <c r="C5" t="s">
        <v>121</v>
      </c>
      <c r="D5" s="89">
        <v>1210</v>
      </c>
      <c r="E5">
        <v>1</v>
      </c>
      <c r="F5" s="91">
        <v>45870</v>
      </c>
      <c r="G5" s="91">
        <v>46234</v>
      </c>
      <c r="H5" s="90">
        <v>1090</v>
      </c>
      <c r="I5" t="s">
        <v>115</v>
      </c>
    </row>
    <row r="6" spans="1:9" x14ac:dyDescent="0.25">
      <c r="A6" t="s">
        <v>106</v>
      </c>
      <c r="B6" t="s">
        <v>120</v>
      </c>
      <c r="C6" t="s">
        <v>119</v>
      </c>
      <c r="D6" s="89">
        <v>310</v>
      </c>
      <c r="E6" t="s">
        <v>118</v>
      </c>
      <c r="F6" s="91">
        <v>45839</v>
      </c>
      <c r="G6" s="91">
        <v>46203</v>
      </c>
      <c r="H6" s="90">
        <v>300</v>
      </c>
      <c r="I6" t="s">
        <v>115</v>
      </c>
    </row>
    <row r="7" spans="1:9" x14ac:dyDescent="0.25">
      <c r="A7" t="s">
        <v>106</v>
      </c>
      <c r="B7" t="s">
        <v>117</v>
      </c>
      <c r="C7" t="s">
        <v>116</v>
      </c>
      <c r="D7" s="89">
        <v>995</v>
      </c>
      <c r="E7">
        <v>1</v>
      </c>
      <c r="F7" s="91">
        <v>45839</v>
      </c>
      <c r="G7" s="91">
        <v>46203</v>
      </c>
      <c r="H7" s="90">
        <v>995</v>
      </c>
      <c r="I7" t="s">
        <v>115</v>
      </c>
    </row>
    <row r="8" spans="1:9" x14ac:dyDescent="0.25">
      <c r="A8" t="s">
        <v>106</v>
      </c>
      <c r="B8" t="s">
        <v>114</v>
      </c>
      <c r="C8" t="s">
        <v>113</v>
      </c>
      <c r="D8" s="89">
        <v>1260</v>
      </c>
      <c r="E8">
        <v>1</v>
      </c>
      <c r="F8" s="91">
        <v>45901</v>
      </c>
      <c r="G8" s="91">
        <v>46265</v>
      </c>
      <c r="H8" s="90">
        <v>1190</v>
      </c>
      <c r="I8" t="s">
        <v>103</v>
      </c>
    </row>
    <row r="9" spans="1:9" x14ac:dyDescent="0.25">
      <c r="A9" t="s">
        <v>106</v>
      </c>
      <c r="B9" t="s">
        <v>112</v>
      </c>
      <c r="C9" t="s">
        <v>111</v>
      </c>
      <c r="D9" s="89">
        <v>1180</v>
      </c>
      <c r="E9">
        <v>1</v>
      </c>
      <c r="F9" s="91">
        <v>45839</v>
      </c>
      <c r="G9" s="91">
        <v>46203</v>
      </c>
      <c r="H9" s="90">
        <v>1180</v>
      </c>
      <c r="I9" t="s">
        <v>103</v>
      </c>
    </row>
    <row r="10" spans="1:9" x14ac:dyDescent="0.25">
      <c r="A10" t="s">
        <v>106</v>
      </c>
      <c r="B10" t="s">
        <v>110</v>
      </c>
      <c r="C10" t="s">
        <v>109</v>
      </c>
      <c r="D10" s="89">
        <v>1185</v>
      </c>
      <c r="E10">
        <v>1</v>
      </c>
      <c r="F10" s="91">
        <v>45839</v>
      </c>
      <c r="G10" s="91">
        <v>46203</v>
      </c>
      <c r="H10" s="90">
        <v>950</v>
      </c>
      <c r="I10" t="s">
        <v>103</v>
      </c>
    </row>
    <row r="11" spans="1:9" x14ac:dyDescent="0.25">
      <c r="A11" t="s">
        <v>106</v>
      </c>
      <c r="B11" t="s">
        <v>108</v>
      </c>
      <c r="C11" t="s">
        <v>107</v>
      </c>
      <c r="D11" s="89">
        <v>1180</v>
      </c>
      <c r="E11">
        <v>1</v>
      </c>
      <c r="F11" s="91">
        <v>45901</v>
      </c>
      <c r="G11" s="91">
        <v>46265</v>
      </c>
      <c r="H11" s="90">
        <v>1100</v>
      </c>
      <c r="I11" t="s">
        <v>103</v>
      </c>
    </row>
    <row r="12" spans="1:9" x14ac:dyDescent="0.25">
      <c r="A12" t="s">
        <v>106</v>
      </c>
      <c r="B12" t="s">
        <v>105</v>
      </c>
      <c r="C12" t="s">
        <v>104</v>
      </c>
      <c r="D12" s="89">
        <v>960</v>
      </c>
      <c r="E12">
        <v>1</v>
      </c>
      <c r="F12" s="91">
        <v>45870</v>
      </c>
      <c r="G12" s="91">
        <v>46234</v>
      </c>
      <c r="H12" s="90">
        <v>960</v>
      </c>
      <c r="I12" t="s">
        <v>103</v>
      </c>
    </row>
    <row r="14" spans="1:9" x14ac:dyDescent="0.25">
      <c r="H14" s="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AA63-F6DC-4F80-A80E-7EA46B040C7F}">
  <dimension ref="A1:O44"/>
  <sheetViews>
    <sheetView zoomScaleNormal="100" workbookViewId="0">
      <selection activeCell="A16" sqref="A16"/>
    </sheetView>
  </sheetViews>
  <sheetFormatPr defaultColWidth="8.7109375" defaultRowHeight="15" x14ac:dyDescent="0.25"/>
  <cols>
    <col min="1" max="1" width="8.7109375" style="75"/>
    <col min="2" max="2" width="40" style="75" customWidth="1"/>
    <col min="3" max="15" width="13" style="75" customWidth="1"/>
    <col min="16" max="16384" width="8.7109375" style="75"/>
  </cols>
  <sheetData>
    <row r="1" spans="1:15" ht="15.75" x14ac:dyDescent="0.25">
      <c r="B1" s="94" t="s">
        <v>53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x14ac:dyDescent="0.25">
      <c r="B2" s="95" t="s">
        <v>54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4" spans="1:15" x14ac:dyDescent="0.25">
      <c r="B4" s="76"/>
      <c r="C4" s="77" t="s">
        <v>55</v>
      </c>
      <c r="D4" s="77" t="s">
        <v>56</v>
      </c>
      <c r="E4" s="77" t="s">
        <v>57</v>
      </c>
      <c r="F4" s="77" t="s">
        <v>58</v>
      </c>
      <c r="G4" s="77" t="s">
        <v>59</v>
      </c>
      <c r="H4" s="77" t="s">
        <v>60</v>
      </c>
      <c r="I4" s="77" t="s">
        <v>61</v>
      </c>
      <c r="J4" s="77" t="s">
        <v>62</v>
      </c>
      <c r="K4" s="77" t="s">
        <v>63</v>
      </c>
      <c r="L4" s="77" t="s">
        <v>64</v>
      </c>
      <c r="M4" s="77" t="s">
        <v>65</v>
      </c>
      <c r="N4" s="77" t="s">
        <v>66</v>
      </c>
      <c r="O4" s="77" t="s">
        <v>67</v>
      </c>
    </row>
    <row r="5" spans="1:15" x14ac:dyDescent="0.25">
      <c r="B5" s="78" t="s">
        <v>68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15" x14ac:dyDescent="0.25">
      <c r="B6" s="80" t="s">
        <v>69</v>
      </c>
      <c r="C6" s="81">
        <v>10946.6</v>
      </c>
      <c r="D6" s="81">
        <v>11795.8</v>
      </c>
      <c r="E6" s="81">
        <v>11795.7</v>
      </c>
      <c r="F6" s="81">
        <v>11147.75</v>
      </c>
      <c r="G6" s="81">
        <v>10471.450000000001</v>
      </c>
      <c r="H6" s="81">
        <v>12134.05</v>
      </c>
      <c r="I6" s="81">
        <v>9487.4500000000007</v>
      </c>
      <c r="J6" s="81">
        <v>12719.05</v>
      </c>
      <c r="K6" s="81">
        <v>13227.35</v>
      </c>
      <c r="L6" s="81">
        <v>11895.05</v>
      </c>
      <c r="M6" s="81">
        <v>11094.75</v>
      </c>
      <c r="N6" s="81">
        <v>13269.9</v>
      </c>
      <c r="O6" s="81">
        <f>SUM(C6:N6)</f>
        <v>139984.90000000002</v>
      </c>
    </row>
    <row r="7" spans="1:15" x14ac:dyDescent="0.25">
      <c r="B7" s="80" t="s">
        <v>70</v>
      </c>
      <c r="C7" s="81">
        <v>0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48.3</v>
      </c>
      <c r="N7" s="81">
        <v>0</v>
      </c>
      <c r="O7" s="81">
        <f>SUM(C7:N7)</f>
        <v>48.3</v>
      </c>
    </row>
    <row r="8" spans="1:15" x14ac:dyDescent="0.25">
      <c r="B8" s="80" t="s">
        <v>71</v>
      </c>
      <c r="C8" s="81">
        <v>47</v>
      </c>
      <c r="D8" s="81">
        <v>40</v>
      </c>
      <c r="E8" s="81">
        <v>51.5</v>
      </c>
      <c r="F8" s="81">
        <v>39.5</v>
      </c>
      <c r="G8" s="81">
        <v>35</v>
      </c>
      <c r="H8" s="81">
        <v>34.5</v>
      </c>
      <c r="I8" s="81">
        <v>35</v>
      </c>
      <c r="J8" s="81">
        <v>30.75</v>
      </c>
      <c r="K8" s="81">
        <v>21.5</v>
      </c>
      <c r="L8" s="81">
        <v>40.5</v>
      </c>
      <c r="M8" s="81">
        <v>96.75</v>
      </c>
      <c r="N8" s="81">
        <v>37.75</v>
      </c>
      <c r="O8" s="81">
        <f>SUM(C8:N8)</f>
        <v>509.75</v>
      </c>
    </row>
    <row r="9" spans="1:15" ht="15.75" thickBot="1" x14ac:dyDescent="0.3">
      <c r="B9" s="82" t="s">
        <v>72</v>
      </c>
      <c r="C9" s="83">
        <f t="shared" ref="C9:O9" si="0">C6+C7+C8</f>
        <v>10993.6</v>
      </c>
      <c r="D9" s="83">
        <f t="shared" si="0"/>
        <v>11835.8</v>
      </c>
      <c r="E9" s="83">
        <f t="shared" si="0"/>
        <v>11847.2</v>
      </c>
      <c r="F9" s="83">
        <f t="shared" si="0"/>
        <v>11187.25</v>
      </c>
      <c r="G9" s="83">
        <f t="shared" si="0"/>
        <v>10506.45</v>
      </c>
      <c r="H9" s="83">
        <f t="shared" si="0"/>
        <v>12168.55</v>
      </c>
      <c r="I9" s="83">
        <f t="shared" si="0"/>
        <v>9522.4500000000007</v>
      </c>
      <c r="J9" s="83">
        <f t="shared" si="0"/>
        <v>12749.8</v>
      </c>
      <c r="K9" s="83">
        <f t="shared" si="0"/>
        <v>13248.85</v>
      </c>
      <c r="L9" s="83">
        <f t="shared" si="0"/>
        <v>11935.55</v>
      </c>
      <c r="M9" s="83">
        <f t="shared" si="0"/>
        <v>11239.8</v>
      </c>
      <c r="N9" s="83">
        <f t="shared" si="0"/>
        <v>13307.65</v>
      </c>
      <c r="O9" s="83">
        <f t="shared" si="0"/>
        <v>140542.95000000001</v>
      </c>
    </row>
    <row r="11" spans="1:15" x14ac:dyDescent="0.25">
      <c r="B11" s="78" t="s">
        <v>73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</row>
    <row r="12" spans="1:15" x14ac:dyDescent="0.25">
      <c r="A12" s="75" t="s">
        <v>136</v>
      </c>
      <c r="B12" s="80" t="s">
        <v>74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3</v>
      </c>
      <c r="I12" s="81">
        <v>40</v>
      </c>
      <c r="J12" s="81">
        <v>4.8</v>
      </c>
      <c r="K12" s="81">
        <v>-1.8</v>
      </c>
      <c r="L12" s="81">
        <v>0</v>
      </c>
      <c r="M12" s="81">
        <v>0</v>
      </c>
      <c r="N12" s="81">
        <v>0</v>
      </c>
      <c r="O12" s="81">
        <f t="shared" ref="O12:O31" si="1">SUM(C12:N12)</f>
        <v>46</v>
      </c>
    </row>
    <row r="13" spans="1:15" x14ac:dyDescent="0.25">
      <c r="A13" s="75" t="s">
        <v>136</v>
      </c>
      <c r="B13" s="80" t="s">
        <v>78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154.26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f t="shared" si="1"/>
        <v>154.26</v>
      </c>
    </row>
    <row r="14" spans="1:15" x14ac:dyDescent="0.25">
      <c r="A14" s="75" t="s">
        <v>136</v>
      </c>
      <c r="B14" s="80" t="s">
        <v>93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-55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f t="shared" si="1"/>
        <v>-55</v>
      </c>
    </row>
    <row r="15" spans="1:15" x14ac:dyDescent="0.25">
      <c r="A15" s="75" t="s">
        <v>150</v>
      </c>
      <c r="B15" s="80" t="s">
        <v>87</v>
      </c>
      <c r="C15" s="81">
        <v>0</v>
      </c>
      <c r="D15" s="81">
        <v>96.73</v>
      </c>
      <c r="E15" s="81">
        <v>0</v>
      </c>
      <c r="F15" s="81">
        <v>0</v>
      </c>
      <c r="G15" s="81">
        <v>0</v>
      </c>
      <c r="H15" s="81">
        <v>0</v>
      </c>
      <c r="I15" s="81">
        <v>96.73</v>
      </c>
      <c r="J15" s="81">
        <v>0</v>
      </c>
      <c r="K15" s="81">
        <v>159.53</v>
      </c>
      <c r="L15" s="81">
        <v>0</v>
      </c>
      <c r="M15" s="81">
        <v>0</v>
      </c>
      <c r="N15" s="81">
        <v>0</v>
      </c>
      <c r="O15" s="81">
        <f t="shared" si="1"/>
        <v>352.99</v>
      </c>
    </row>
    <row r="16" spans="1:15" x14ac:dyDescent="0.25">
      <c r="A16" s="75" t="s">
        <v>146</v>
      </c>
      <c r="B16" s="80" t="s">
        <v>91</v>
      </c>
      <c r="C16" s="81">
        <v>263.41000000000003</v>
      </c>
      <c r="D16" s="81">
        <v>247.31</v>
      </c>
      <c r="E16" s="81">
        <v>48.61</v>
      </c>
      <c r="F16" s="81">
        <v>368.98</v>
      </c>
      <c r="G16" s="81">
        <v>157.88</v>
      </c>
      <c r="H16" s="81">
        <v>150.55000000000001</v>
      </c>
      <c r="I16" s="81">
        <v>178.75</v>
      </c>
      <c r="J16" s="81">
        <v>196.94</v>
      </c>
      <c r="K16" s="81">
        <v>160.29</v>
      </c>
      <c r="L16" s="81">
        <v>139.33000000000001</v>
      </c>
      <c r="M16" s="81">
        <v>181.08</v>
      </c>
      <c r="N16" s="81">
        <v>188.71</v>
      </c>
      <c r="O16" s="81">
        <f t="shared" si="1"/>
        <v>2281.84</v>
      </c>
    </row>
    <row r="17" spans="1:15" x14ac:dyDescent="0.25">
      <c r="A17" s="75" t="s">
        <v>137</v>
      </c>
      <c r="B17" s="80" t="s">
        <v>75</v>
      </c>
      <c r="C17" s="81">
        <v>1595.76</v>
      </c>
      <c r="D17" s="81">
        <v>2272.73</v>
      </c>
      <c r="E17" s="81">
        <v>2098.13</v>
      </c>
      <c r="F17" s="81">
        <v>1419.99</v>
      </c>
      <c r="G17" s="81">
        <v>1253.94</v>
      </c>
      <c r="H17" s="81">
        <v>303.26</v>
      </c>
      <c r="I17" s="81">
        <v>576.29</v>
      </c>
      <c r="J17" s="81">
        <v>302.73</v>
      </c>
      <c r="K17" s="81">
        <v>296.77999999999997</v>
      </c>
      <c r="L17" s="81">
        <v>322.42</v>
      </c>
      <c r="M17" s="81">
        <v>448.55</v>
      </c>
      <c r="N17" s="81">
        <v>1175.49</v>
      </c>
      <c r="O17" s="81">
        <f t="shared" si="1"/>
        <v>12066.069999999998</v>
      </c>
    </row>
    <row r="18" spans="1:15" x14ac:dyDescent="0.25">
      <c r="A18" s="75" t="s">
        <v>139</v>
      </c>
      <c r="B18" s="80" t="s">
        <v>77</v>
      </c>
      <c r="C18" s="81">
        <v>1202.24</v>
      </c>
      <c r="D18" s="81">
        <v>0</v>
      </c>
      <c r="E18" s="81">
        <v>601.12</v>
      </c>
      <c r="F18" s="81">
        <v>949.29</v>
      </c>
      <c r="G18" s="81">
        <v>949.29</v>
      </c>
      <c r="H18" s="81">
        <v>949.29</v>
      </c>
      <c r="I18" s="81">
        <v>949.29</v>
      </c>
      <c r="J18" s="81">
        <v>949.29</v>
      </c>
      <c r="K18" s="81">
        <v>949.29</v>
      </c>
      <c r="L18" s="81">
        <v>949.29</v>
      </c>
      <c r="M18" s="81">
        <v>949.29</v>
      </c>
      <c r="N18" s="81">
        <v>949.29</v>
      </c>
      <c r="O18" s="81">
        <f t="shared" si="1"/>
        <v>10346.970000000001</v>
      </c>
    </row>
    <row r="19" spans="1:15" x14ac:dyDescent="0.25">
      <c r="A19" s="75" t="s">
        <v>141</v>
      </c>
      <c r="B19" s="80" t="s">
        <v>80</v>
      </c>
      <c r="C19" s="81">
        <v>0</v>
      </c>
      <c r="D19" s="81">
        <v>0.26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f t="shared" si="1"/>
        <v>0.26</v>
      </c>
    </row>
    <row r="20" spans="1:15" x14ac:dyDescent="0.25">
      <c r="A20" s="75" t="s">
        <v>141</v>
      </c>
      <c r="B20" s="80" t="s">
        <v>82</v>
      </c>
      <c r="C20" s="81">
        <v>624</v>
      </c>
      <c r="D20" s="81">
        <v>624</v>
      </c>
      <c r="E20" s="81">
        <v>624</v>
      </c>
      <c r="F20" s="81">
        <v>624</v>
      </c>
      <c r="G20" s="81">
        <v>624</v>
      </c>
      <c r="H20" s="81">
        <v>624</v>
      </c>
      <c r="I20" s="81">
        <v>624</v>
      </c>
      <c r="J20" s="81">
        <v>624</v>
      </c>
      <c r="K20" s="81">
        <v>624</v>
      </c>
      <c r="L20" s="81">
        <v>624</v>
      </c>
      <c r="M20" s="81">
        <v>624</v>
      </c>
      <c r="N20" s="81">
        <v>624</v>
      </c>
      <c r="O20" s="81">
        <f t="shared" si="1"/>
        <v>7488</v>
      </c>
    </row>
    <row r="21" spans="1:15" x14ac:dyDescent="0.25">
      <c r="A21" s="75" t="s">
        <v>142</v>
      </c>
      <c r="B21" s="80" t="s">
        <v>81</v>
      </c>
      <c r="C21" s="81">
        <v>1108.43</v>
      </c>
      <c r="D21" s="81">
        <v>951.16</v>
      </c>
      <c r="E21" s="81">
        <v>726.31</v>
      </c>
      <c r="F21" s="81">
        <v>705.14</v>
      </c>
      <c r="G21" s="81">
        <v>721.83</v>
      </c>
      <c r="H21" s="81">
        <v>746.4</v>
      </c>
      <c r="I21" s="81">
        <v>718.33</v>
      </c>
      <c r="J21" s="81">
        <v>1003.63</v>
      </c>
      <c r="K21" s="81">
        <v>723.74</v>
      </c>
      <c r="L21" s="81">
        <v>699.94</v>
      </c>
      <c r="M21" s="81">
        <v>831.35</v>
      </c>
      <c r="N21" s="81">
        <v>763.75</v>
      </c>
      <c r="O21" s="81">
        <f t="shared" si="1"/>
        <v>9700.01</v>
      </c>
    </row>
    <row r="22" spans="1:15" x14ac:dyDescent="0.25">
      <c r="A22" s="75" t="s">
        <v>142</v>
      </c>
      <c r="B22" s="80" t="s">
        <v>83</v>
      </c>
      <c r="C22" s="81">
        <v>0</v>
      </c>
      <c r="D22" s="81">
        <v>0</v>
      </c>
      <c r="E22" s="81">
        <v>0</v>
      </c>
      <c r="F22" s="81">
        <v>200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f t="shared" si="1"/>
        <v>200</v>
      </c>
    </row>
    <row r="23" spans="1:15" x14ac:dyDescent="0.25">
      <c r="A23" s="75" t="s">
        <v>140</v>
      </c>
      <c r="B23" s="80" t="s">
        <v>79</v>
      </c>
      <c r="C23" s="81">
        <v>83.77</v>
      </c>
      <c r="D23" s="81">
        <v>72.23</v>
      </c>
      <c r="E23" s="81">
        <v>1735.15</v>
      </c>
      <c r="F23" s="81">
        <v>55.15</v>
      </c>
      <c r="G23" s="81">
        <v>55.15</v>
      </c>
      <c r="H23" s="81">
        <v>55.15</v>
      </c>
      <c r="I23" s="81">
        <v>55.15</v>
      </c>
      <c r="J23" s="81">
        <v>84.81</v>
      </c>
      <c r="K23" s="81">
        <v>56.54</v>
      </c>
      <c r="L23" s="81">
        <v>287.05</v>
      </c>
      <c r="M23" s="81">
        <v>70.52</v>
      </c>
      <c r="N23" s="81">
        <v>56.54</v>
      </c>
      <c r="O23" s="81">
        <f t="shared" si="1"/>
        <v>2667.2100000000005</v>
      </c>
    </row>
    <row r="24" spans="1:15" x14ac:dyDescent="0.25">
      <c r="A24" s="75" t="s">
        <v>143</v>
      </c>
      <c r="B24" s="80" t="s">
        <v>84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82.69</v>
      </c>
      <c r="I24" s="81">
        <v>0</v>
      </c>
      <c r="J24" s="81">
        <v>0</v>
      </c>
      <c r="K24" s="81">
        <v>0</v>
      </c>
      <c r="L24" s="81">
        <v>0</v>
      </c>
      <c r="M24" s="81">
        <v>18.059999999999999</v>
      </c>
      <c r="N24" s="81">
        <v>0</v>
      </c>
      <c r="O24" s="81">
        <f t="shared" si="1"/>
        <v>100.75</v>
      </c>
    </row>
    <row r="25" spans="1:15" x14ac:dyDescent="0.25">
      <c r="A25" s="75" t="s">
        <v>143</v>
      </c>
      <c r="B25" s="80" t="s">
        <v>85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248.97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f t="shared" si="1"/>
        <v>248.97</v>
      </c>
    </row>
    <row r="26" spans="1:15" x14ac:dyDescent="0.25">
      <c r="A26" s="75" t="s">
        <v>143</v>
      </c>
      <c r="B26" s="80" t="s">
        <v>86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366.91</v>
      </c>
      <c r="J26" s="81">
        <v>0</v>
      </c>
      <c r="K26" s="81">
        <v>249.92</v>
      </c>
      <c r="L26" s="81">
        <v>0</v>
      </c>
      <c r="M26" s="81">
        <v>0</v>
      </c>
      <c r="N26" s="81">
        <v>0</v>
      </c>
      <c r="O26" s="81">
        <f t="shared" si="1"/>
        <v>616.83000000000004</v>
      </c>
    </row>
    <row r="27" spans="1:15" x14ac:dyDescent="0.25">
      <c r="A27" s="75" t="s">
        <v>143</v>
      </c>
      <c r="B27" s="80" t="s">
        <v>88</v>
      </c>
      <c r="C27" s="81">
        <v>422.91</v>
      </c>
      <c r="D27" s="81">
        <v>38.979999999999997</v>
      </c>
      <c r="E27" s="81">
        <v>691.2</v>
      </c>
      <c r="F27" s="81">
        <v>1320.6</v>
      </c>
      <c r="G27" s="81">
        <v>0</v>
      </c>
      <c r="H27" s="81">
        <v>1066.48</v>
      </c>
      <c r="I27" s="81">
        <v>716.66</v>
      </c>
      <c r="J27" s="81">
        <v>438.94</v>
      </c>
      <c r="K27" s="81">
        <v>14.16</v>
      </c>
      <c r="L27" s="81">
        <v>274.77999999999997</v>
      </c>
      <c r="M27" s="81">
        <v>166.43</v>
      </c>
      <c r="N27" s="81">
        <v>47.08</v>
      </c>
      <c r="O27" s="81">
        <f t="shared" si="1"/>
        <v>5198.2199999999993</v>
      </c>
    </row>
    <row r="28" spans="1:15" x14ac:dyDescent="0.25">
      <c r="A28" s="75" t="s">
        <v>143</v>
      </c>
      <c r="B28" s="80" t="s">
        <v>89</v>
      </c>
      <c r="C28" s="81">
        <v>0</v>
      </c>
      <c r="D28" s="81">
        <v>26.42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f t="shared" si="1"/>
        <v>26.42</v>
      </c>
    </row>
    <row r="29" spans="1:15" x14ac:dyDescent="0.25">
      <c r="A29" s="75" t="s">
        <v>144</v>
      </c>
      <c r="B29" s="80" t="s">
        <v>90</v>
      </c>
      <c r="C29" s="81">
        <v>13291.45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v>16024.79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f t="shared" si="1"/>
        <v>29316.240000000002</v>
      </c>
    </row>
    <row r="30" spans="1:15" x14ac:dyDescent="0.25">
      <c r="A30" s="75" t="s">
        <v>145</v>
      </c>
      <c r="B30" s="80" t="s">
        <v>44</v>
      </c>
      <c r="C30" s="81">
        <v>222.66</v>
      </c>
      <c r="D30" s="81">
        <v>222.66</v>
      </c>
      <c r="E30" s="81">
        <v>222.66</v>
      </c>
      <c r="F30" s="81">
        <v>222.66</v>
      </c>
      <c r="G30" s="81">
        <v>222.66</v>
      </c>
      <c r="H30" s="81">
        <v>222.66</v>
      </c>
      <c r="I30" s="81">
        <v>222.66</v>
      </c>
      <c r="J30" s="81">
        <v>222.66</v>
      </c>
      <c r="K30" s="81">
        <v>222.66</v>
      </c>
      <c r="L30" s="81">
        <v>222.66</v>
      </c>
      <c r="M30" s="81">
        <v>222.66</v>
      </c>
      <c r="N30" s="81">
        <v>222.66</v>
      </c>
      <c r="O30" s="81">
        <f t="shared" si="1"/>
        <v>2671.92</v>
      </c>
    </row>
    <row r="31" spans="1:15" x14ac:dyDescent="0.25">
      <c r="A31" s="75" t="s">
        <v>147</v>
      </c>
      <c r="B31" s="80" t="s">
        <v>92</v>
      </c>
      <c r="C31" s="81">
        <v>337.68</v>
      </c>
      <c r="D31" s="81">
        <v>294.76</v>
      </c>
      <c r="E31" s="81">
        <v>309.01</v>
      </c>
      <c r="F31" s="81">
        <v>269.2</v>
      </c>
      <c r="G31" s="81">
        <v>243.4</v>
      </c>
      <c r="H31" s="81">
        <v>249.35</v>
      </c>
      <c r="I31" s="81">
        <v>254.62</v>
      </c>
      <c r="J31" s="81">
        <v>240.25</v>
      </c>
      <c r="K31" s="81">
        <v>480.5</v>
      </c>
      <c r="L31" s="81">
        <v>302.49</v>
      </c>
      <c r="M31" s="81">
        <v>167.59</v>
      </c>
      <c r="N31" s="81">
        <v>376.06</v>
      </c>
      <c r="O31" s="81">
        <f t="shared" si="1"/>
        <v>3524.9100000000003</v>
      </c>
    </row>
    <row r="32" spans="1:15" ht="15.75" thickBot="1" x14ac:dyDescent="0.3">
      <c r="B32" s="82" t="s">
        <v>94</v>
      </c>
      <c r="C32" s="83">
        <f>SUM(C12:C31)</f>
        <v>19152.310000000001</v>
      </c>
      <c r="D32" s="83">
        <f t="shared" ref="D32:O32" si="2">SUM(D12:D31)</f>
        <v>4847.24</v>
      </c>
      <c r="E32" s="83">
        <f t="shared" si="2"/>
        <v>7056.19</v>
      </c>
      <c r="F32" s="83">
        <f t="shared" si="2"/>
        <v>6135.0099999999993</v>
      </c>
      <c r="G32" s="83">
        <f t="shared" si="2"/>
        <v>4228.1499999999996</v>
      </c>
      <c r="H32" s="83">
        <f t="shared" si="2"/>
        <v>4607.09</v>
      </c>
      <c r="I32" s="83">
        <f t="shared" si="2"/>
        <v>21018.15</v>
      </c>
      <c r="J32" s="83">
        <f t="shared" si="2"/>
        <v>4068.05</v>
      </c>
      <c r="K32" s="83">
        <f t="shared" si="2"/>
        <v>3935.6099999999997</v>
      </c>
      <c r="L32" s="83">
        <f t="shared" si="2"/>
        <v>3821.96</v>
      </c>
      <c r="M32" s="83">
        <f t="shared" si="2"/>
        <v>3679.5299999999997</v>
      </c>
      <c r="N32" s="83">
        <f t="shared" si="2"/>
        <v>4403.58</v>
      </c>
      <c r="O32" s="83">
        <f t="shared" si="2"/>
        <v>86952.87</v>
      </c>
    </row>
    <row r="34" spans="2:15" x14ac:dyDescent="0.25">
      <c r="B34" s="84" t="s">
        <v>49</v>
      </c>
      <c r="C34" s="85">
        <f t="shared" ref="C34:O34" si="3">C9-C32</f>
        <v>-8158.7100000000009</v>
      </c>
      <c r="D34" s="85">
        <f t="shared" si="3"/>
        <v>6988.5599999999995</v>
      </c>
      <c r="E34" s="85">
        <f t="shared" si="3"/>
        <v>4791.0100000000011</v>
      </c>
      <c r="F34" s="85">
        <f t="shared" si="3"/>
        <v>5052.2400000000007</v>
      </c>
      <c r="G34" s="85">
        <f t="shared" si="3"/>
        <v>6278.3000000000011</v>
      </c>
      <c r="H34" s="85">
        <f t="shared" si="3"/>
        <v>7561.4599999999991</v>
      </c>
      <c r="I34" s="85">
        <f t="shared" si="3"/>
        <v>-11495.7</v>
      </c>
      <c r="J34" s="85">
        <f t="shared" si="3"/>
        <v>8681.75</v>
      </c>
      <c r="K34" s="85">
        <f t="shared" si="3"/>
        <v>9313.2400000000016</v>
      </c>
      <c r="L34" s="85">
        <f t="shared" si="3"/>
        <v>8113.5899999999992</v>
      </c>
      <c r="M34" s="85">
        <f t="shared" si="3"/>
        <v>7560.2699999999995</v>
      </c>
      <c r="N34" s="85">
        <f t="shared" si="3"/>
        <v>8904.07</v>
      </c>
      <c r="O34" s="85">
        <f t="shared" si="3"/>
        <v>53590.080000000016</v>
      </c>
    </row>
    <row r="36" spans="2:15" x14ac:dyDescent="0.25">
      <c r="B36" s="86" t="s">
        <v>95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</row>
    <row r="37" spans="2:15" x14ac:dyDescent="0.25">
      <c r="B37" s="88" t="s">
        <v>96</v>
      </c>
    </row>
    <row r="38" spans="2:15" x14ac:dyDescent="0.25">
      <c r="B38" s="80" t="s">
        <v>97</v>
      </c>
      <c r="C38" s="81">
        <v>989.44</v>
      </c>
      <c r="D38" s="81">
        <v>901.74</v>
      </c>
      <c r="E38" s="81">
        <v>820.88</v>
      </c>
      <c r="F38" s="81">
        <v>899.59</v>
      </c>
      <c r="G38" s="81">
        <v>874.82</v>
      </c>
      <c r="H38" s="81">
        <v>887.6</v>
      </c>
      <c r="I38" s="81">
        <v>857.97</v>
      </c>
      <c r="J38" s="81">
        <v>898.33</v>
      </c>
      <c r="K38" s="81">
        <v>899.11</v>
      </c>
      <c r="L38" s="81">
        <v>853.64</v>
      </c>
      <c r="M38" s="81">
        <v>836.15</v>
      </c>
      <c r="N38" s="81">
        <v>749.2</v>
      </c>
      <c r="O38" s="81">
        <f>SUM(C38:N38)</f>
        <v>10468.470000000001</v>
      </c>
    </row>
    <row r="39" spans="2:15" x14ac:dyDescent="0.25">
      <c r="B39" s="88" t="s">
        <v>98</v>
      </c>
    </row>
    <row r="40" spans="2:15" x14ac:dyDescent="0.25">
      <c r="B40" s="80" t="s">
        <v>99</v>
      </c>
      <c r="C40" s="81">
        <v>2551.8200000000002</v>
      </c>
      <c r="D40" s="81">
        <v>2462.6</v>
      </c>
      <c r="E40" s="81">
        <v>2228.13</v>
      </c>
      <c r="F40" s="81">
        <v>2454.66</v>
      </c>
      <c r="G40" s="81">
        <v>2376.6799999999998</v>
      </c>
      <c r="H40" s="81">
        <v>2436.4899999999998</v>
      </c>
      <c r="I40" s="81">
        <v>2353.85</v>
      </c>
      <c r="J40" s="81">
        <v>2440.89</v>
      </c>
      <c r="K40" s="81">
        <v>2438.48</v>
      </c>
      <c r="L40" s="81">
        <v>2339.85</v>
      </c>
      <c r="M40" s="81">
        <v>2368.5500000000002</v>
      </c>
      <c r="N40" s="81">
        <v>2228.9</v>
      </c>
      <c r="O40" s="81">
        <f>SUM(C40:N40)</f>
        <v>28680.899999999998</v>
      </c>
    </row>
    <row r="41" spans="2:15" x14ac:dyDescent="0.25">
      <c r="B41" s="80" t="s">
        <v>100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5.82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f>SUM(C41:N41)</f>
        <v>5.82</v>
      </c>
    </row>
    <row r="42" spans="2:15" x14ac:dyDescent="0.25">
      <c r="B42" s="80" t="s">
        <v>76</v>
      </c>
      <c r="C42" s="81">
        <v>1042.23</v>
      </c>
      <c r="D42" s="81">
        <v>0</v>
      </c>
      <c r="E42" s="81">
        <v>0</v>
      </c>
      <c r="F42" s="81">
        <v>0</v>
      </c>
      <c r="G42" s="81">
        <v>101.03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987.46</v>
      </c>
      <c r="N42" s="81">
        <v>0</v>
      </c>
      <c r="O42" s="81">
        <f>SUM(C42:N42)</f>
        <v>2130.7200000000003</v>
      </c>
    </row>
    <row r="43" spans="2:15" x14ac:dyDescent="0.25">
      <c r="B43" s="80" t="s">
        <v>101</v>
      </c>
      <c r="C43" s="81">
        <v>0</v>
      </c>
      <c r="D43" s="81">
        <v>11850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f>SUM(C43:N43)</f>
        <v>11850</v>
      </c>
    </row>
    <row r="44" spans="2:15" x14ac:dyDescent="0.25">
      <c r="B44" s="80" t="s">
        <v>102</v>
      </c>
      <c r="C44" s="81">
        <v>0</v>
      </c>
      <c r="D44" s="81">
        <v>0</v>
      </c>
      <c r="E44" s="81">
        <v>0</v>
      </c>
      <c r="F44" s="81">
        <v>0</v>
      </c>
      <c r="G44" s="81">
        <v>34191.99</v>
      </c>
      <c r="H44" s="81">
        <v>0</v>
      </c>
      <c r="I44" s="81">
        <v>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f>SUM(C44:N44)</f>
        <v>34191.99</v>
      </c>
    </row>
  </sheetData>
  <sortState xmlns:xlrd2="http://schemas.microsoft.com/office/spreadsheetml/2017/richdata2" ref="A12:O31">
    <sortCondition ref="A12:A31"/>
  </sortState>
  <mergeCells count="2">
    <mergeCell ref="B1:O1"/>
    <mergeCell ref="B2:O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RR 2.12.2026</vt:lpstr>
      <vt:lpstr>2025 Corrected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 Edwards</dc:creator>
  <cp:keywords/>
  <dc:description/>
  <cp:lastModifiedBy>Bradley Balletto</cp:lastModifiedBy>
  <cp:revision/>
  <dcterms:created xsi:type="dcterms:W3CDTF">2024-04-24T15:29:57Z</dcterms:created>
  <dcterms:modified xsi:type="dcterms:W3CDTF">2026-07-16T12:31:11Z</dcterms:modified>
  <cp:category/>
  <cp:contentStatus/>
</cp:coreProperties>
</file>