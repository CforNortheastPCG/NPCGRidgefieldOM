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6084606184621455616/WOPIServiceId_TP_DROPBOX_PLUS/WOPIUserId_-/"/>
    </mc:Choice>
  </mc:AlternateContent>
  <xr:revisionPtr revIDLastSave="1" documentId="8_{9F385F50-187B-483C-95BA-35B4948303FE}" xr6:coauthVersionLast="47" xr6:coauthVersionMax="47" xr10:uidLastSave="{C5800F45-A8C4-4013-9AEA-C06EE90D3F4D}"/>
  <bookViews>
    <workbookView xWindow="28680" yWindow="-120" windowWidth="29040" windowHeight="15840" xr2:uid="{477F78E3-9F91-4080-A7DF-ED23F95E4EF8}"/>
  </bookViews>
  <sheets>
    <sheet name="Analysis" sheetId="1" r:id="rId1"/>
    <sheet name="RR" sheetId="2" r:id="rId2"/>
    <sheet name="Cash Flow 12 Month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K27" i="1"/>
  <c r="E27" i="1" l="1"/>
  <c r="E28" i="1" s="1"/>
  <c r="E25" i="1" s="1"/>
  <c r="H41" i="1" l="1"/>
  <c r="K41" i="1"/>
  <c r="E8" i="1"/>
  <c r="N7" i="3"/>
  <c r="N8" i="3"/>
  <c r="N9" i="3"/>
  <c r="N10" i="3"/>
  <c r="N11" i="3"/>
  <c r="N12" i="3"/>
  <c r="N13" i="3"/>
  <c r="B14" i="3"/>
  <c r="B46" i="3" s="1"/>
  <c r="C14" i="3"/>
  <c r="C46" i="3" s="1"/>
  <c r="D14" i="3"/>
  <c r="E14" i="3"/>
  <c r="F14" i="3"/>
  <c r="G14" i="3"/>
  <c r="H14" i="3"/>
  <c r="I14" i="3"/>
  <c r="J14" i="3"/>
  <c r="K14" i="3"/>
  <c r="L14" i="3"/>
  <c r="M14" i="3"/>
  <c r="N34" i="3"/>
  <c r="N35" i="3"/>
  <c r="N36" i="3"/>
  <c r="N37" i="3"/>
  <c r="N38" i="3"/>
  <c r="N31" i="3"/>
  <c r="N39" i="3"/>
  <c r="N40" i="3"/>
  <c r="N26" i="3"/>
  <c r="N27" i="3"/>
  <c r="N25" i="3"/>
  <c r="N23" i="3"/>
  <c r="N24" i="3"/>
  <c r="N42" i="3"/>
  <c r="N43" i="3"/>
  <c r="N41" i="3"/>
  <c r="N17" i="3"/>
  <c r="N18" i="3"/>
  <c r="N29" i="3"/>
  <c r="N30" i="3"/>
  <c r="N28" i="3"/>
  <c r="N32" i="3"/>
  <c r="N33" i="3"/>
  <c r="N19" i="3"/>
  <c r="N20" i="3"/>
  <c r="N21" i="3"/>
  <c r="N22" i="3"/>
  <c r="B44" i="3"/>
  <c r="C44" i="3"/>
  <c r="D44" i="3"/>
  <c r="E44" i="3"/>
  <c r="F44" i="3"/>
  <c r="G44" i="3"/>
  <c r="G46" i="3" s="1"/>
  <c r="H44" i="3"/>
  <c r="H46" i="3" s="1"/>
  <c r="I44" i="3"/>
  <c r="J44" i="3"/>
  <c r="K44" i="3"/>
  <c r="L44" i="3"/>
  <c r="M44" i="3"/>
  <c r="N50" i="3"/>
  <c r="N51" i="3"/>
  <c r="N52" i="3"/>
  <c r="N53" i="3"/>
  <c r="Y4" i="1"/>
  <c r="X4" i="1" s="1"/>
  <c r="K18" i="1"/>
  <c r="R5" i="1"/>
  <c r="Q5" i="1"/>
  <c r="W5" i="1" s="1"/>
  <c r="P5" i="1"/>
  <c r="S4" i="1"/>
  <c r="M46" i="3" l="1"/>
  <c r="H21" i="1"/>
  <c r="L18" i="1"/>
  <c r="I20" i="1"/>
  <c r="I21" i="1"/>
  <c r="I17" i="1"/>
  <c r="K19" i="1"/>
  <c r="L19" i="1" s="1"/>
  <c r="I19" i="1"/>
  <c r="I18" i="1"/>
  <c r="I16" i="1"/>
  <c r="I46" i="3"/>
  <c r="K46" i="3"/>
  <c r="L46" i="3"/>
  <c r="J46" i="3"/>
  <c r="N44" i="3"/>
  <c r="E46" i="3"/>
  <c r="F46" i="3"/>
  <c r="D46" i="3"/>
  <c r="N14" i="3"/>
  <c r="S5" i="1"/>
  <c r="K17" i="1"/>
  <c r="L17" i="1" s="1"/>
  <c r="T4" i="1"/>
  <c r="N46" i="3" l="1"/>
  <c r="K16" i="1"/>
  <c r="L16" i="1" s="1"/>
  <c r="H22" i="1"/>
  <c r="I22" i="1"/>
  <c r="T5" i="1"/>
  <c r="H4" i="1"/>
  <c r="Y5" i="1"/>
  <c r="K4" i="1" s="1"/>
  <c r="K5" i="1" l="1"/>
  <c r="K6" i="1" s="1"/>
  <c r="H5" i="1"/>
  <c r="H6" i="1" s="1"/>
  <c r="E37" i="1" l="1"/>
  <c r="E38" i="1" s="1"/>
  <c r="E35" i="1"/>
  <c r="Q14" i="1"/>
  <c r="T24" i="1"/>
  <c r="T25" i="1"/>
  <c r="T26" i="1"/>
  <c r="T27" i="1"/>
  <c r="T28" i="1"/>
  <c r="T29" i="1"/>
  <c r="T30" i="1"/>
  <c r="T31" i="1"/>
  <c r="T32" i="1"/>
  <c r="T19" i="1" l="1"/>
  <c r="T20" i="1"/>
  <c r="T21" i="1"/>
  <c r="T22" i="1"/>
  <c r="T23" i="1"/>
  <c r="T18" i="1"/>
  <c r="S10" i="1"/>
  <c r="S11" i="1"/>
  <c r="S12" i="1"/>
  <c r="S9" i="1"/>
  <c r="R10" i="1"/>
  <c r="R9" i="1"/>
  <c r="R14" i="1"/>
  <c r="S26" i="1" l="1"/>
  <c r="S27" i="1"/>
  <c r="S28" i="1"/>
  <c r="S24" i="1"/>
  <c r="S31" i="1"/>
  <c r="S29" i="1"/>
  <c r="S25" i="1"/>
  <c r="S32" i="1"/>
  <c r="S30" i="1"/>
  <c r="S18" i="1"/>
  <c r="S19" i="1"/>
  <c r="S20" i="1"/>
  <c r="S22" i="1"/>
  <c r="S21" i="1"/>
  <c r="S23" i="1"/>
  <c r="Q12" i="1"/>
  <c r="Q11" i="1"/>
  <c r="Q10" i="1"/>
  <c r="Q9" i="1"/>
  <c r="P9" i="1" l="1"/>
  <c r="R11" i="1"/>
  <c r="R12" i="1"/>
  <c r="P10" i="1"/>
  <c r="P11" i="1"/>
  <c r="P12" i="1"/>
  <c r="P13" i="1" l="1"/>
  <c r="T13" i="1"/>
  <c r="R13" i="1"/>
  <c r="H10" i="1" s="1"/>
  <c r="H11" i="1" s="1"/>
  <c r="H12" i="1" s="1"/>
  <c r="H14" i="1" s="1"/>
  <c r="H24" i="1" s="1"/>
  <c r="S13" i="1"/>
  <c r="K10" i="1" l="1"/>
  <c r="K11" i="1" s="1"/>
  <c r="K12" i="1" s="1"/>
  <c r="K14" i="1" s="1"/>
  <c r="H8" i="1"/>
  <c r="K8" i="1" s="1"/>
  <c r="S14" i="1"/>
  <c r="E19" i="1" s="1"/>
  <c r="H9" i="1" l="1"/>
  <c r="K9" i="1"/>
  <c r="R33" i="1"/>
  <c r="S33" i="1"/>
  <c r="Q33" i="1"/>
  <c r="E18" i="1"/>
  <c r="K21" i="1"/>
  <c r="L21" i="1" s="1"/>
  <c r="K30" i="1"/>
  <c r="K31" i="1"/>
  <c r="K32" i="1"/>
  <c r="K33" i="1"/>
  <c r="K35" i="1"/>
  <c r="K36" i="1"/>
  <c r="K29" i="1"/>
  <c r="I35" i="1" l="1"/>
  <c r="L31" i="1"/>
  <c r="I30" i="1"/>
  <c r="L30" i="1"/>
  <c r="I29" i="1"/>
  <c r="L35" i="1"/>
  <c r="I34" i="1"/>
  <c r="I31" i="1"/>
  <c r="I33" i="1"/>
  <c r="L33" i="1"/>
  <c r="I32" i="1"/>
  <c r="E12" i="1"/>
  <c r="L32" i="1"/>
  <c r="I36" i="1"/>
  <c r="L36" i="1"/>
  <c r="L29" i="1"/>
  <c r="K20" i="1"/>
  <c r="L20" i="1" s="1"/>
  <c r="L22" i="1" s="1"/>
  <c r="K34" i="1"/>
  <c r="L34" i="1" s="1"/>
  <c r="K22" i="1" l="1"/>
  <c r="K24" i="1" s="1"/>
  <c r="K28" i="1" l="1"/>
  <c r="L28" i="1" s="1"/>
  <c r="H28" i="1"/>
  <c r="I28" i="1" s="1"/>
  <c r="L37" i="1" l="1"/>
  <c r="K37" i="1"/>
  <c r="H37" i="1"/>
  <c r="I37" i="1"/>
  <c r="M37" i="1" l="1"/>
  <c r="J37" i="1"/>
  <c r="K39" i="1"/>
  <c r="H39" i="1"/>
  <c r="H43" i="1" s="1"/>
  <c r="H45" i="1" s="1"/>
  <c r="E15" i="1" l="1"/>
  <c r="K43" i="1"/>
  <c r="K45" i="1" s="1"/>
  <c r="E14" i="1"/>
  <c r="E29" i="1"/>
  <c r="E17" i="1" l="1"/>
  <c r="E16" i="1" l="1"/>
  <c r="T33" i="1"/>
  <c r="T14" i="1"/>
  <c r="E20" i="1" s="1"/>
</calcChain>
</file>

<file path=xl/sharedStrings.xml><?xml version="1.0" encoding="utf-8"?>
<sst xmlns="http://schemas.openxmlformats.org/spreadsheetml/2006/main" count="317" uniqueCount="216">
  <si>
    <t>Operating Income</t>
  </si>
  <si>
    <t>Unit Mix</t>
  </si>
  <si>
    <t>Income</t>
  </si>
  <si>
    <t>%</t>
  </si>
  <si>
    <t>Current</t>
  </si>
  <si>
    <t>Pro Forma</t>
  </si>
  <si>
    <t>Unit Type</t>
  </si>
  <si>
    <t># of Units</t>
  </si>
  <si>
    <t>SF</t>
  </si>
  <si>
    <t>Current Rent</t>
  </si>
  <si>
    <t>High Achieved Rent</t>
  </si>
  <si>
    <t>Property Information</t>
  </si>
  <si>
    <t>Property Name</t>
  </si>
  <si>
    <t>Address</t>
  </si>
  <si>
    <t>City/State/Zip</t>
  </si>
  <si>
    <t>Vacancy &amp; Collections Loss</t>
  </si>
  <si>
    <t>Additional Income</t>
  </si>
  <si>
    <t>Units</t>
  </si>
  <si>
    <t>Lot Size (Acres)</t>
  </si>
  <si>
    <t>Investment Information</t>
  </si>
  <si>
    <t>Purchase Price</t>
  </si>
  <si>
    <t>Annual Total</t>
  </si>
  <si>
    <t>Price/Unit</t>
  </si>
  <si>
    <t>Average</t>
  </si>
  <si>
    <t>Price/SF</t>
  </si>
  <si>
    <t>Rent Roll</t>
  </si>
  <si>
    <t>Total Additional Income</t>
  </si>
  <si>
    <t>Unit #</t>
  </si>
  <si>
    <t>Lease Start</t>
  </si>
  <si>
    <t>Lease End</t>
  </si>
  <si>
    <t>Effective Gross Income</t>
  </si>
  <si>
    <t>Average Rent - Current</t>
  </si>
  <si>
    <t>Operating Expense</t>
  </si>
  <si>
    <t>Average High Achieved Rent</t>
  </si>
  <si>
    <t>Expense</t>
  </si>
  <si>
    <t>Average Rent - Pro Forma</t>
  </si>
  <si>
    <t>Property Management</t>
  </si>
  <si>
    <t>Real Estate Tax</t>
  </si>
  <si>
    <t>Property Insurance</t>
  </si>
  <si>
    <t>Electric</t>
  </si>
  <si>
    <t>Water and Sewer</t>
  </si>
  <si>
    <t>Trash Removal</t>
  </si>
  <si>
    <t>Repairs and Maintenance</t>
  </si>
  <si>
    <t>Landscaping/Snow Removal</t>
  </si>
  <si>
    <t>Monthly Total</t>
  </si>
  <si>
    <t>Debt Assumptions</t>
  </si>
  <si>
    <t>Interest Rate</t>
  </si>
  <si>
    <t>Total Expense</t>
  </si>
  <si>
    <t>Amortization (Years)</t>
  </si>
  <si>
    <t>Annual Debt Service</t>
  </si>
  <si>
    <t>Net Operating Income</t>
  </si>
  <si>
    <t>Debt Service</t>
  </si>
  <si>
    <t>Cashflow after Debt Service</t>
  </si>
  <si>
    <t>Down PMT</t>
  </si>
  <si>
    <t>Cash on Cash</t>
  </si>
  <si>
    <t>Tax Info</t>
  </si>
  <si>
    <t>Mill Rate</t>
  </si>
  <si>
    <t>Reval Year</t>
  </si>
  <si>
    <t>Current Assessment</t>
  </si>
  <si>
    <t>Current FMV</t>
  </si>
  <si>
    <t>Exemption?</t>
  </si>
  <si>
    <t>Current Taxes</t>
  </si>
  <si>
    <t>Net Assessment</t>
  </si>
  <si>
    <t>LTV</t>
  </si>
  <si>
    <t>Loan Amount</t>
  </si>
  <si>
    <t>DSCR</t>
  </si>
  <si>
    <t>Cap Rate - Current</t>
  </si>
  <si>
    <t>Cap Rate - Pro Forma</t>
  </si>
  <si>
    <t>Cash-on-Cash - Current</t>
  </si>
  <si>
    <t>Cash-on-Cash - Pro Forma</t>
  </si>
  <si>
    <t>Building SF</t>
  </si>
  <si>
    <t>Rent Roll - Commercial</t>
  </si>
  <si>
    <t>Tenant</t>
  </si>
  <si>
    <t>Suite</t>
  </si>
  <si>
    <t>Monthly Rent</t>
  </si>
  <si>
    <t>Annual Rent</t>
  </si>
  <si>
    <t>Current Rent/SF</t>
  </si>
  <si>
    <t>Gross Scheduled Rent - Commercial</t>
  </si>
  <si>
    <t>Effective Rental Income - Commercial</t>
  </si>
  <si>
    <t>Gross Potential Rent - Residential</t>
  </si>
  <si>
    <t>Below Market Rents</t>
  </si>
  <si>
    <t>Gross Scheduled Rent  - Residential</t>
  </si>
  <si>
    <t>Effective Rental Income - Residential</t>
  </si>
  <si>
    <t>Effective Rental Income - Total</t>
  </si>
  <si>
    <t>$/SF/Unit</t>
  </si>
  <si>
    <t>Pro Forma Rent /SF</t>
  </si>
  <si>
    <t>PF Monthly Rent</t>
  </si>
  <si>
    <t>PF Annual Rent</t>
  </si>
  <si>
    <t>100.0% Occupied</t>
  </si>
  <si>
    <t>Total 16 Units</t>
  </si>
  <si>
    <t>16 Units</t>
  </si>
  <si>
    <t>Winston R. Fulford</t>
  </si>
  <si>
    <t>1/1.00</t>
  </si>
  <si>
    <t>Unit 208</t>
  </si>
  <si>
    <t>Daniel  L. Malavet</t>
  </si>
  <si>
    <t>2/2.00</t>
  </si>
  <si>
    <t>Unit 207</t>
  </si>
  <si>
    <t>Alexandra L. Kandiew</t>
  </si>
  <si>
    <t>2/1.00</t>
  </si>
  <si>
    <t>Unit 206</t>
  </si>
  <si>
    <t>Jamison T. Jedziniak</t>
  </si>
  <si>
    <t>Unit 205</t>
  </si>
  <si>
    <t>Gary A. Vollink</t>
  </si>
  <si>
    <t>Unit 204</t>
  </si>
  <si>
    <t>Kristina Degrandi</t>
  </si>
  <si>
    <t>Unit 203</t>
  </si>
  <si>
    <t>Michael Jimenez</t>
  </si>
  <si>
    <t>3/2.00</t>
  </si>
  <si>
    <t>Unit 202</t>
  </si>
  <si>
    <t>Robin C. Flay</t>
  </si>
  <si>
    <t>Unit 201</t>
  </si>
  <si>
    <t>Jennifer K. Lia</t>
  </si>
  <si>
    <t>Unit 108</t>
  </si>
  <si>
    <t>Kevin M. Terry</t>
  </si>
  <si>
    <t>Unit 107</t>
  </si>
  <si>
    <t>Chantay K. Douglas</t>
  </si>
  <si>
    <t>Unit 106</t>
  </si>
  <si>
    <t>Grant W. Hale</t>
  </si>
  <si>
    <t>Unit 105</t>
  </si>
  <si>
    <t>Yanique A. Anderson</t>
  </si>
  <si>
    <t>Unit 104</t>
  </si>
  <si>
    <t>Heather Robinson</t>
  </si>
  <si>
    <t>Unit 103</t>
  </si>
  <si>
    <t>Casa Buena Team, LLC</t>
  </si>
  <si>
    <t>--/--</t>
  </si>
  <si>
    <t>Unit 102</t>
  </si>
  <si>
    <t>Lawrence  M. Gerschel</t>
  </si>
  <si>
    <t>Unit 101</t>
  </si>
  <si>
    <t/>
  </si>
  <si>
    <t>Black Rock Commons - 2836 Fairfield Ave Bridgeport, CT 06605</t>
  </si>
  <si>
    <t>Move-out</t>
  </si>
  <si>
    <t>Move-in</t>
  </si>
  <si>
    <t>Lease To</t>
  </si>
  <si>
    <t>Lease From</t>
  </si>
  <si>
    <t>Deposit</t>
  </si>
  <si>
    <t>Rent</t>
  </si>
  <si>
    <t>Market Rent</t>
  </si>
  <si>
    <t>Sqft</t>
  </si>
  <si>
    <t>Status</t>
  </si>
  <si>
    <t>BD/BA</t>
  </si>
  <si>
    <t>Tags</t>
  </si>
  <si>
    <t>Unit</t>
  </si>
  <si>
    <r>
      <rPr>
        <b/>
        <sz val="11"/>
        <rFont val="Arial"/>
      </rPr>
      <t xml:space="preserve">Include Advertised Rent: </t>
    </r>
    <r>
      <rPr>
        <sz val="11"/>
        <rFont val="Arial"/>
      </rPr>
      <t>Yes</t>
    </r>
  </si>
  <si>
    <r>
      <rPr>
        <b/>
        <sz val="11"/>
        <rFont val="Arial"/>
      </rPr>
      <t xml:space="preserve">Include Non-Revenue Units: </t>
    </r>
    <r>
      <rPr>
        <sz val="11"/>
        <rFont val="Arial"/>
      </rPr>
      <t>No</t>
    </r>
  </si>
  <si>
    <r>
      <rPr>
        <b/>
        <sz val="11"/>
        <rFont val="Arial"/>
      </rPr>
      <t xml:space="preserve">As of: </t>
    </r>
    <r>
      <rPr>
        <sz val="11"/>
        <rFont val="Arial"/>
      </rPr>
      <t>06/08/2026</t>
    </r>
  </si>
  <si>
    <r>
      <rPr>
        <b/>
        <sz val="11"/>
        <rFont val="Arial"/>
      </rPr>
      <t xml:space="preserve">Units: </t>
    </r>
    <r>
      <rPr>
        <sz val="11"/>
        <rFont val="Arial"/>
      </rPr>
      <t>Active</t>
    </r>
  </si>
  <si>
    <r>
      <rPr>
        <b/>
        <sz val="11"/>
        <rFont val="Arial"/>
      </rPr>
      <t xml:space="preserve">All Properties Owned By: </t>
    </r>
    <r>
      <rPr>
        <sz val="11"/>
        <rFont val="Arial"/>
      </rPr>
      <t>2836 Fairfield Ave Associates LLC</t>
    </r>
  </si>
  <si>
    <r>
      <rPr>
        <b/>
        <sz val="9"/>
        <rFont val="Arial"/>
      </rPr>
      <t xml:space="preserve">Exported On: </t>
    </r>
    <r>
      <rPr>
        <sz val="9"/>
        <rFont val="Arial"/>
      </rPr>
      <t>06/08/2026 05:22 PM</t>
    </r>
  </si>
  <si>
    <t>Note: Beginning cash resets at the Apr 2026 management transition (All-Star ending Mar 2026 cash of 28,141.07 vs. LYP beginning Apr 2026 cash of 3,846.55).</t>
  </si>
  <si>
    <t xml:space="preserve">    Actual Ending Cash</t>
  </si>
  <si>
    <t xml:space="preserve">    Beginning Cash</t>
  </si>
  <si>
    <t xml:space="preserve">    Owner Distribution (LYP)</t>
  </si>
  <si>
    <t xml:space="preserve">    Owner Transfers (All-Star: Net Income Transfers)</t>
  </si>
  <si>
    <t>MEMO: BELOW-THE-LINE CASH ITEMS (as reported by each manager)</t>
  </si>
  <si>
    <t>Total Operating Expenses</t>
  </si>
  <si>
    <t xml:space="preserve">    Miscellaneous Expense</t>
  </si>
  <si>
    <t xml:space="preserve">    Interest Expense</t>
  </si>
  <si>
    <t xml:space="preserve">    Sales Tax</t>
  </si>
  <si>
    <t xml:space="preserve">    Licenses and Permits</t>
  </si>
  <si>
    <t xml:space="preserve">    Accounting Expenses</t>
  </si>
  <si>
    <t xml:space="preserve">    Legal Expenses</t>
  </si>
  <si>
    <t xml:space="preserve">    Commissions</t>
  </si>
  <si>
    <t xml:space="preserve">    Asset Fee</t>
  </si>
  <si>
    <t xml:space="preserve">    Management Fee</t>
  </si>
  <si>
    <t xml:space="preserve">    Telephone</t>
  </si>
  <si>
    <t xml:space="preserve">    Computer and Internet</t>
  </si>
  <si>
    <t xml:space="preserve">    Garbage and Recycling</t>
  </si>
  <si>
    <t xml:space="preserve">    Sewer</t>
  </si>
  <si>
    <t xml:space="preserve">    Water</t>
  </si>
  <si>
    <t xml:space="preserve">    Electricity</t>
  </si>
  <si>
    <t xml:space="preserve">    Fire Safety</t>
  </si>
  <si>
    <t xml:space="preserve">    Elevator Maintenance</t>
  </si>
  <si>
    <t xml:space="preserve">    Snow Plowing</t>
  </si>
  <si>
    <t xml:space="preserve">    Landscaping</t>
  </si>
  <si>
    <t xml:space="preserve">    Keys &amp; Locks</t>
  </si>
  <si>
    <t xml:space="preserve">    Maintenance Supplies</t>
  </si>
  <si>
    <t xml:space="preserve">    Maintenance Labor</t>
  </si>
  <si>
    <t xml:space="preserve">    Appliances</t>
  </si>
  <si>
    <t xml:space="preserve">    HVAC (Heat, Ventilation, Air)</t>
  </si>
  <si>
    <t xml:space="preserve">    Subcontractors</t>
  </si>
  <si>
    <t xml:space="preserve">    Repair</t>
  </si>
  <si>
    <t xml:space="preserve">    Apartment Turnover &amp; Renovation</t>
  </si>
  <si>
    <t>OPERATING EXPENSES</t>
  </si>
  <si>
    <t>Total Income</t>
  </si>
  <si>
    <t xml:space="preserve">    Month-to-Month Fee</t>
  </si>
  <si>
    <t xml:space="preserve">    Late Fee</t>
  </si>
  <si>
    <t xml:space="preserve">    Deposit Forfeit</t>
  </si>
  <si>
    <t xml:space="preserve">    Application Fee Income</t>
  </si>
  <si>
    <t xml:space="preserve">    Pet Fee Income</t>
  </si>
  <si>
    <t xml:space="preserve">    Prepaid Rent</t>
  </si>
  <si>
    <t xml:space="preserve">    Rent Income</t>
  </si>
  <si>
    <t>INCOME</t>
  </si>
  <si>
    <t>Total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</si>
  <si>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</si>
  <si>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</si>
  <si>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</si>
  <si>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</si>
  <si>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</si>
  <si>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</si>
  <si>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</si>
  <si>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</si>
  <si>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</si>
  <si>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</si>
  <si>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Aug 2025</t>
  </si>
  <si>
    <t>Jul 2025</t>
  </si>
  <si>
    <t>Account</t>
  </si>
  <si>
    <t>Source: All-Star Property Management (Jul 2025 - Mar 2026) and LYP Management (Apr 2026 - Jun 2026), cash basis. Prepared 06.09.2026.</t>
  </si>
  <si>
    <t>Combined Cash Flow Statement | Trailing 12 Months | Jul 2025 - Jun 2026</t>
  </si>
  <si>
    <t>2836 Fairfield Ave Associates LLC</t>
  </si>
  <si>
    <t>Elevator</t>
  </si>
  <si>
    <t>Year 1</t>
  </si>
  <si>
    <t>2836 Fairfield</t>
  </si>
  <si>
    <t>2836 Fairfield Avenue</t>
  </si>
  <si>
    <t>Bridgeport, CT 06605</t>
  </si>
  <si>
    <t>Year Built/Renovated</t>
  </si>
  <si>
    <t>1933/2015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</si>
</sst>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  <numFmt numFmtId="167" formatCode="mm/dd/yyyy"/>
    <numFmt numFmtId="168" formatCode="#,##0.00;[Red]\-#,##0.00"/>
    <numFmt numFmtId="169" formatCode="#,##0;[Red]\-#,##0"/>
    <numFmt numFmtId="170" formatCode="#,##0.00;\(#,##0.00\);\-"/>
    <numFmt numFmtId="171" formatCode="\$#,##0.00;&quot;($&quot;#,##0.00\);\-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name val="Aptos Narrow"/>
      <family val="2"/>
      <scheme val="minor"/>
    </font>
    <font>
      <b/>
      <sz val="10.5"/>
      <color rgb="FF0070C0"/>
      <name val="Aptos Narrow"/>
      <family val="2"/>
      <scheme val="minor"/>
    </font>
    <font>
      <sz val="10.5"/>
      <color theme="0"/>
      <name val="Aptos Narrow"/>
      <family val="2"/>
      <scheme val="minor"/>
    </font>
    <font>
      <sz val="11"/>
      <color theme="1"/>
      <name val="Lato"/>
      <family val="2"/>
    </font>
    <font>
      <sz val="11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764A0"/>
      <name val="Arial"/>
      <family val="1"/>
    </font>
    <font>
      <b/>
      <sz val="13"/>
      <color rgb="FF303030"/>
      <name val="Arial"/>
      <family val="1"/>
    </font>
    <font>
      <sz val="9"/>
      <color rgb="FF303030"/>
      <name val="Arial"/>
      <family val="1"/>
    </font>
    <font>
      <sz val="13"/>
      <color rgb="FF303030"/>
      <name val="Arial"/>
      <family val="1"/>
    </font>
    <font>
      <b/>
      <sz val="11"/>
      <name val="Arial"/>
    </font>
    <font>
      <sz val="11"/>
      <name val="Arial"/>
    </font>
    <font>
      <b/>
      <sz val="9"/>
      <name val="Arial"/>
    </font>
    <font>
      <sz val="9"/>
      <name val="Arial"/>
    </font>
    <font>
      <b/>
      <sz val="18"/>
      <color rgb="FF303030"/>
      <name val="Arial"/>
      <family val="1"/>
    </font>
    <font>
      <sz val="11"/>
      <color theme="1"/>
      <name val="Calibri"/>
      <family val="2"/>
      <charset val="1"/>
    </font>
    <font>
      <i/>
      <sz val="8"/>
      <color rgb="FF6B6B6B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6B6B6B"/>
      <name val="Arial"/>
      <family val="2"/>
    </font>
    <font>
      <b/>
      <sz val="11"/>
      <name val="Arial"/>
      <family val="2"/>
    </font>
    <font>
      <b/>
      <sz val="11"/>
      <color rgb="FF3F4753"/>
      <name val="Arial"/>
      <family val="2"/>
    </font>
    <font>
      <b/>
      <sz val="10"/>
      <color rgb="FF3F4753"/>
      <name val="Arial"/>
      <family val="2"/>
    </font>
    <font>
      <b/>
      <sz val="10"/>
      <color rgb="FFFFFFFF"/>
      <name val="Arial"/>
      <family val="2"/>
    </font>
    <font>
      <i/>
      <sz val="9"/>
      <color rgb="FF6B6B6B"/>
      <name val="Arial"/>
      <family val="2"/>
    </font>
    <font>
      <b/>
      <sz val="14"/>
      <color rgb="FF3F475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F6F2EE"/>
        <bgColor rgb="FFFFFFFF"/>
      </patternFill>
    </fill>
    <fill>
      <patternFill patternType="solid">
        <fgColor rgb="FF3F4753"/>
        <bgColor rgb="FF333399"/>
      </patternFill>
    </fill>
  </fills>
  <borders count="12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B1A8A0"/>
      </left>
      <right/>
      <top/>
      <bottom/>
      <diagonal/>
    </border>
    <border>
      <left/>
      <right/>
      <top style="double">
        <color rgb="FF3F4753"/>
      </top>
      <bottom/>
      <diagonal/>
    </border>
    <border>
      <left/>
      <right/>
      <top style="thin">
        <color rgb="FFB1A8A0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4" fontId="1" fillId="0" borderId="0" applyFont="0" applyFill="0" applyBorder="0" applyAlignment="0" applyProtection="0"/>
    <xf numFmtId="0" fontId="13" fillId="0" borderId="0"/>
    <xf numFmtId="0" fontId="25" fillId="0" borderId="0"/>
  </cellStyleXfs>
  <cellXfs count="153">
    <xf numFmtId="0" fontId="0" fillId="0" borderId="0" xfId="0"/>
    <xf numFmtId="0" fontId="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0" fontId="8" fillId="6" borderId="1" xfId="2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5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10" fontId="3" fillId="6" borderId="1" xfId="2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0" fontId="3" fillId="4" borderId="1" xfId="2" applyNumberFormat="1" applyFont="1" applyFill="1" applyBorder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9" fillId="3" borderId="1" xfId="2" applyNumberFormat="1" applyFont="1" applyFill="1" applyBorder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0" fontId="9" fillId="4" borderId="1" xfId="2" applyNumberFormat="1" applyFont="1" applyFill="1" applyBorder="1" applyAlignment="1">
      <alignment horizontal="center" vertical="center"/>
    </xf>
    <xf numFmtId="10" fontId="5" fillId="6" borderId="1" xfId="2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0" fontId="3" fillId="6" borderId="0" xfId="1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10" fillId="6" borderId="2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3" fillId="6" borderId="0" xfId="2" applyNumberFormat="1" applyFont="1" applyFill="1" applyAlignment="1">
      <alignment horizontal="right" vertical="center"/>
    </xf>
    <xf numFmtId="10" fontId="3" fillId="6" borderId="3" xfId="2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65" fontId="9" fillId="6" borderId="0" xfId="1" applyNumberFormat="1" applyFont="1" applyFill="1" applyBorder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64" fontId="3" fillId="6" borderId="3" xfId="0" applyNumberFormat="1" applyFont="1" applyFill="1" applyBorder="1" applyAlignment="1">
      <alignment horizontal="right" vertical="center"/>
    </xf>
    <xf numFmtId="9" fontId="5" fillId="6" borderId="0" xfId="2" applyFont="1" applyFill="1" applyAlignment="1">
      <alignment horizontal="right" vertical="center"/>
    </xf>
    <xf numFmtId="10" fontId="3" fillId="6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vertical="center"/>
    </xf>
    <xf numFmtId="10" fontId="3" fillId="5" borderId="0" xfId="2" applyNumberFormat="1" applyFont="1" applyFill="1" applyBorder="1" applyAlignment="1">
      <alignment horizontal="center" vertical="center"/>
    </xf>
    <xf numFmtId="10" fontId="3" fillId="4" borderId="0" xfId="2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right" vertical="center"/>
    </xf>
    <xf numFmtId="0" fontId="6" fillId="6" borderId="0" xfId="0" applyFont="1" applyFill="1" applyAlignment="1">
      <alignment vertical="center"/>
    </xf>
    <xf numFmtId="0" fontId="6" fillId="6" borderId="3" xfId="0" applyFont="1" applyFill="1" applyBorder="1" applyAlignment="1">
      <alignment vertical="center"/>
    </xf>
    <xf numFmtId="164" fontId="3" fillId="6" borderId="0" xfId="0" quotePrefix="1" applyNumberFormat="1" applyFont="1" applyFill="1" applyAlignment="1">
      <alignment horizontal="right" vertical="center"/>
    </xf>
    <xf numFmtId="164" fontId="3" fillId="6" borderId="0" xfId="4" applyNumberFormat="1" applyFont="1" applyFill="1" applyAlignment="1">
      <alignment horizontal="right" vertical="center"/>
    </xf>
    <xf numFmtId="14" fontId="5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3" fontId="10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166" fontId="3" fillId="6" borderId="4" xfId="0" applyNumberFormat="1" applyFont="1" applyFill="1" applyBorder="1" applyAlignment="1">
      <alignment horizontal="center" vertical="center"/>
    </xf>
    <xf numFmtId="166" fontId="5" fillId="6" borderId="4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0" fontId="13" fillId="0" borderId="0" xfId="5"/>
    <xf numFmtId="167" fontId="14" fillId="0" borderId="0" xfId="5" applyNumberFormat="1" applyFont="1"/>
    <xf numFmtId="168" fontId="14" fillId="0" borderId="0" xfId="5" applyNumberFormat="1" applyFont="1"/>
    <xf numFmtId="169" fontId="14" fillId="0" borderId="0" xfId="5" applyNumberFormat="1" applyFont="1"/>
    <xf numFmtId="0" fontId="14" fillId="0" borderId="0" xfId="5" applyFont="1"/>
    <xf numFmtId="167" fontId="15" fillId="0" borderId="0" xfId="5" applyNumberFormat="1" applyFont="1"/>
    <xf numFmtId="168" fontId="15" fillId="0" borderId="0" xfId="5" applyNumberFormat="1" applyFont="1"/>
    <xf numFmtId="169" fontId="15" fillId="0" borderId="0" xfId="5" applyNumberFormat="1" applyFont="1"/>
    <xf numFmtId="0" fontId="15" fillId="0" borderId="0" xfId="5" applyFont="1"/>
    <xf numFmtId="0" fontId="17" fillId="7" borderId="8" xfId="5" applyFont="1" applyFill="1" applyBorder="1" applyAlignment="1">
      <alignment horizontal="left"/>
    </xf>
    <xf numFmtId="3" fontId="5" fillId="6" borderId="1" xfId="0" applyNumberFormat="1" applyFont="1" applyFill="1" applyBorder="1" applyAlignment="1">
      <alignment horizontal="center" vertical="center"/>
    </xf>
    <xf numFmtId="166" fontId="3" fillId="6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horizontal="center" vertical="center"/>
    </xf>
    <xf numFmtId="166" fontId="10" fillId="6" borderId="5" xfId="0" applyNumberFormat="1" applyFont="1" applyFill="1" applyBorder="1" applyAlignment="1">
      <alignment horizontal="center" vertical="center"/>
    </xf>
    <xf numFmtId="164" fontId="3" fillId="6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164" fontId="10" fillId="6" borderId="5" xfId="0" applyNumberFormat="1" applyFont="1" applyFill="1" applyBorder="1" applyAlignment="1">
      <alignment horizontal="center" vertical="center"/>
    </xf>
    <xf numFmtId="164" fontId="6" fillId="6" borderId="5" xfId="0" applyNumberFormat="1" applyFont="1" applyFill="1" applyBorder="1" applyAlignment="1">
      <alignment horizontal="center" vertical="center"/>
    </xf>
    <xf numFmtId="164" fontId="5" fillId="6" borderId="0" xfId="2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vertical="center"/>
    </xf>
    <xf numFmtId="14" fontId="2" fillId="2" borderId="0" xfId="0" applyNumberFormat="1" applyFont="1" applyFill="1" applyAlignment="1">
      <alignment horizontal="center" vertical="center"/>
    </xf>
    <xf numFmtId="14" fontId="10" fillId="6" borderId="2" xfId="0" applyNumberFormat="1" applyFont="1" applyFill="1" applyBorder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14" fontId="3" fillId="6" borderId="0" xfId="0" applyNumberFormat="1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4" fontId="6" fillId="6" borderId="2" xfId="0" applyNumberFormat="1" applyFont="1" applyFill="1" applyBorder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25" fillId="0" borderId="0" xfId="6"/>
    <xf numFmtId="0" fontId="26" fillId="0" borderId="0" xfId="6" applyFont="1"/>
    <xf numFmtId="170" fontId="27" fillId="0" borderId="9" xfId="6" applyNumberFormat="1" applyFont="1" applyBorder="1"/>
    <xf numFmtId="170" fontId="27" fillId="0" borderId="0" xfId="6" applyNumberFormat="1" applyFont="1"/>
    <xf numFmtId="0" fontId="27" fillId="0" borderId="0" xfId="6" applyFont="1"/>
    <xf numFmtId="170" fontId="28" fillId="0" borderId="9" xfId="6" applyNumberFormat="1" applyFont="1" applyBorder="1"/>
    <xf numFmtId="0" fontId="29" fillId="0" borderId="0" xfId="6" applyFont="1"/>
    <xf numFmtId="171" fontId="30" fillId="0" borderId="10" xfId="6" applyNumberFormat="1" applyFont="1" applyBorder="1"/>
    <xf numFmtId="0" fontId="31" fillId="0" borderId="10" xfId="6" applyFont="1" applyBorder="1"/>
    <xf numFmtId="171" fontId="28" fillId="9" borderId="11" xfId="6" applyNumberFormat="1" applyFont="1" applyFill="1" applyBorder="1"/>
    <xf numFmtId="0" fontId="28" fillId="9" borderId="11" xfId="6" applyFont="1" applyFill="1" applyBorder="1"/>
    <xf numFmtId="0" fontId="32" fillId="0" borderId="0" xfId="6" applyFont="1"/>
    <xf numFmtId="0" fontId="33" fillId="10" borderId="0" xfId="6" applyFont="1" applyFill="1" applyAlignment="1">
      <alignment horizontal="center" vertical="center"/>
    </xf>
    <xf numFmtId="0" fontId="33" fillId="10" borderId="0" xfId="6" applyFont="1" applyFill="1" applyAlignment="1">
      <alignment horizontal="left" vertical="center"/>
    </xf>
    <xf numFmtId="0" fontId="34" fillId="0" borderId="0" xfId="6" applyFont="1"/>
    <xf numFmtId="0" fontId="30" fillId="0" borderId="0" xfId="6" applyFont="1"/>
    <xf numFmtId="0" fontId="35" fillId="0" borderId="0" xfId="6" applyFont="1"/>
    <xf numFmtId="1" fontId="5" fillId="6" borderId="0" xfId="0" applyNumberFormat="1" applyFont="1" applyFill="1" applyAlignment="1">
      <alignment horizontal="right" vertical="center"/>
    </xf>
    <xf numFmtId="166" fontId="3" fillId="6" borderId="0" xfId="1" applyNumberFormat="1" applyFont="1" applyFill="1" applyAlignment="1">
      <alignment horizontal="right" vertical="center"/>
    </xf>
    <xf numFmtId="4" fontId="25" fillId="0" borderId="0" xfId="6" applyNumberFormat="1"/>
    <xf numFmtId="2" fontId="3" fillId="6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4" fillId="8" borderId="0" xfId="5" applyFont="1" applyFill="1"/>
    <xf numFmtId="0" fontId="18" fillId="8" borderId="0" xfId="5" applyFont="1" applyFill="1" applyAlignment="1">
      <alignment horizontal="left" vertical="top" wrapText="1"/>
    </xf>
    <xf numFmtId="0" fontId="19" fillId="8" borderId="0" xfId="5" applyFont="1" applyFill="1" applyAlignment="1">
      <alignment horizontal="left" vertical="top" wrapText="1"/>
    </xf>
    <xf numFmtId="0" fontId="16" fillId="0" borderId="0" xfId="5" applyFont="1" applyAlignment="1">
      <alignment horizontal="left"/>
    </xf>
  </cellXfs>
  <cellStyles count="7">
    <cellStyle name="Comma" xfId="1" builtinId="3"/>
    <cellStyle name="Currency" xfId="4" builtinId="4"/>
    <cellStyle name="Normal" xfId="0" builtinId="0"/>
    <cellStyle name="Normal 2" xfId="3" xr:uid="{05FC86DC-8C8F-433C-93C4-86EB0D905801}"/>
    <cellStyle name="Normal 3" xfId="5" xr:uid="{9717386E-2962-4FAF-8B40-403B858F5B6C}"/>
    <cellStyle name="Normal 4" xfId="6" xr:uid="{38D6FF60-180E-4F77-BFE9-E73597FB2BF3}"/>
    <cellStyle name="Percent" xfId="2" builtinId="5"/>
  </cellStyles>
  <dxfs count="0"/>
  <tableStyles count="0" defaultTableStyle="TableStyleMedium2" defaultPivotStyle="PivotStyleLight16"/>
  <colors>
    <mruColors>
      <color rgb="FFDCD7D2"/>
      <color rgb="FF3F4753"/>
      <color rgb="FFB2A8A0"/>
      <color rgb="FFF898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E251-0AF8-4C4B-94D1-971E7544388A}">
  <sheetPr>
    <tabColor rgb="FFF8981C"/>
  </sheetPr>
  <dimension ref="B1:Y48"/>
  <sheetViews>
    <sheetView tabSelected="1" zoomScaleNormal="100" workbookViewId="0"/>
  </sheetViews>
  <sheetFormatPr defaultColWidth="9.140625" defaultRowHeight="14.25" x14ac:dyDescent="0.25"/>
  <cols>
    <col min="1" max="1" width="2.85546875" style="15" customWidth="1"/>
    <col min="2" max="2" width="11.85546875" style="15" customWidth="1"/>
    <col min="3" max="5" width="11.85546875" style="11" customWidth="1"/>
    <col min="6" max="6" width="2.85546875" style="15" customWidth="1"/>
    <col min="7" max="7" width="32.85546875" style="15" bestFit="1" customWidth="1"/>
    <col min="8" max="9" width="9.28515625" style="6" bestFit="1" customWidth="1"/>
    <col min="10" max="10" width="7.42578125" style="45" bestFit="1" customWidth="1"/>
    <col min="11" max="11" width="11.7109375" style="6" bestFit="1" customWidth="1"/>
    <col min="12" max="12" width="9.28515625" style="6" bestFit="1" customWidth="1"/>
    <col min="13" max="13" width="7.42578125" style="45" bestFit="1" customWidth="1"/>
    <col min="14" max="14" width="2.85546875" style="15" customWidth="1"/>
    <col min="15" max="15" width="19.42578125" style="6" bestFit="1" customWidth="1"/>
    <col min="16" max="16" width="14.7109375" style="6" bestFit="1" customWidth="1"/>
    <col min="17" max="17" width="6.42578125" style="58" bestFit="1" customWidth="1"/>
    <col min="18" max="18" width="11.28515625" style="6" bestFit="1" customWidth="1"/>
    <col min="19" max="19" width="16.28515625" style="6" bestFit="1" customWidth="1"/>
    <col min="20" max="20" width="13.7109375" style="6" bestFit="1" customWidth="1"/>
    <col min="21" max="22" width="10.140625" style="123" bestFit="1" customWidth="1"/>
    <col min="23" max="23" width="16.42578125" style="111" bestFit="1" customWidth="1"/>
    <col min="24" max="24" width="13.5703125" style="114" bestFit="1" customWidth="1"/>
    <col min="25" max="25" width="12.85546875" style="114" bestFit="1" customWidth="1"/>
    <col min="26" max="16384" width="9.140625" style="15"/>
  </cols>
  <sheetData>
    <row r="1" spans="2:25" x14ac:dyDescent="0.25">
      <c r="O1" s="15"/>
      <c r="Q1" s="6"/>
      <c r="R1" s="58"/>
      <c r="U1" s="119"/>
      <c r="V1" s="119"/>
    </row>
    <row r="2" spans="2:25" x14ac:dyDescent="0.25">
      <c r="B2" s="14" t="s">
        <v>11</v>
      </c>
      <c r="C2" s="66"/>
      <c r="D2" s="66"/>
      <c r="E2" s="66"/>
      <c r="F2" s="20"/>
      <c r="G2" s="16" t="s">
        <v>0</v>
      </c>
      <c r="H2" s="148"/>
      <c r="I2" s="148"/>
      <c r="J2" s="148"/>
      <c r="K2" s="148"/>
      <c r="L2" s="148"/>
      <c r="M2" s="148"/>
      <c r="O2" s="14" t="s">
        <v>71</v>
      </c>
      <c r="P2" s="28"/>
      <c r="Q2" s="63"/>
      <c r="R2" s="28"/>
      <c r="S2" s="28"/>
      <c r="T2" s="28"/>
      <c r="U2" s="120"/>
      <c r="V2" s="120"/>
      <c r="W2" s="112"/>
      <c r="X2" s="115"/>
      <c r="Y2" s="115"/>
    </row>
    <row r="3" spans="2:25" ht="15" thickBot="1" x14ac:dyDescent="0.3">
      <c r="B3" s="17" t="s">
        <v>12</v>
      </c>
      <c r="D3" s="70"/>
      <c r="E3" s="70" t="s">
        <v>211</v>
      </c>
      <c r="F3" s="20"/>
      <c r="G3" s="18" t="s">
        <v>2</v>
      </c>
      <c r="H3" s="1" t="s">
        <v>210</v>
      </c>
      <c r="I3" s="2" t="s">
        <v>84</v>
      </c>
      <c r="J3" s="3" t="s">
        <v>3</v>
      </c>
      <c r="K3" s="1" t="s">
        <v>5</v>
      </c>
      <c r="L3" s="2" t="s">
        <v>84</v>
      </c>
      <c r="M3" s="3" t="s">
        <v>3</v>
      </c>
      <c r="O3" s="48" t="s">
        <v>72</v>
      </c>
      <c r="P3" s="48" t="s">
        <v>73</v>
      </c>
      <c r="Q3" s="92" t="s">
        <v>8</v>
      </c>
      <c r="R3" s="64" t="s">
        <v>74</v>
      </c>
      <c r="S3" s="5" t="s">
        <v>75</v>
      </c>
      <c r="T3" s="5" t="s">
        <v>76</v>
      </c>
      <c r="U3" s="121" t="s">
        <v>28</v>
      </c>
      <c r="V3" s="121" t="s">
        <v>29</v>
      </c>
      <c r="W3" s="113" t="s">
        <v>85</v>
      </c>
      <c r="X3" s="116" t="s">
        <v>86</v>
      </c>
      <c r="Y3" s="117" t="s">
        <v>87</v>
      </c>
    </row>
    <row r="4" spans="2:25" x14ac:dyDescent="0.25">
      <c r="B4" s="17" t="s">
        <v>13</v>
      </c>
      <c r="D4" s="70"/>
      <c r="E4" s="70" t="s">
        <v>212</v>
      </c>
      <c r="F4" s="20"/>
      <c r="G4" s="19" t="s">
        <v>77</v>
      </c>
      <c r="H4" s="29">
        <f>S5</f>
        <v>31200</v>
      </c>
      <c r="I4" s="30"/>
      <c r="J4" s="31"/>
      <c r="K4" s="29">
        <f>Y5</f>
        <v>33000</v>
      </c>
      <c r="L4" s="30"/>
      <c r="M4" s="31"/>
      <c r="O4" s="93" t="s">
        <v>123</v>
      </c>
      <c r="P4" s="7" t="s">
        <v>125</v>
      </c>
      <c r="Q4" s="110">
        <v>1500</v>
      </c>
      <c r="R4" s="37">
        <v>2600</v>
      </c>
      <c r="S4" s="46">
        <f>IFERROR(R4*12,0)</f>
        <v>31200</v>
      </c>
      <c r="T4" s="94">
        <f>IFERROR(S4/Q4,0)</f>
        <v>20.8</v>
      </c>
      <c r="U4" s="89">
        <v>45641</v>
      </c>
      <c r="V4" s="89">
        <v>46752</v>
      </c>
      <c r="W4" s="95">
        <v>22</v>
      </c>
      <c r="X4" s="118">
        <f>Y4/12</f>
        <v>2750</v>
      </c>
      <c r="Y4" s="46">
        <f>W4*Q4</f>
        <v>33000</v>
      </c>
    </row>
    <row r="5" spans="2:25" x14ac:dyDescent="0.25">
      <c r="B5" s="17" t="s">
        <v>14</v>
      </c>
      <c r="D5" s="70"/>
      <c r="E5" s="70" t="s">
        <v>213</v>
      </c>
      <c r="F5" s="20"/>
      <c r="G5" s="20" t="s">
        <v>15</v>
      </c>
      <c r="H5" s="32">
        <f>-ABS(H4*J5)</f>
        <v>-1560</v>
      </c>
      <c r="J5" s="43">
        <v>0.05</v>
      </c>
      <c r="K5" s="32">
        <f>-ABS(K4*M5)</f>
        <v>-1650</v>
      </c>
      <c r="M5" s="43">
        <v>0.05</v>
      </c>
      <c r="O5" s="49"/>
      <c r="P5" s="65">
        <f>COUNT(R4:R4)</f>
        <v>1</v>
      </c>
      <c r="Q5" s="96">
        <f>SUM(Q4:Q4)</f>
        <v>1500</v>
      </c>
      <c r="R5" s="97">
        <f>SUM(R4:R4)</f>
        <v>2600</v>
      </c>
      <c r="S5" s="51">
        <f>IFERROR(SUM(S4:S4),0)</f>
        <v>31200</v>
      </c>
      <c r="T5" s="98">
        <f>IFERROR(S5/Q5,0)</f>
        <v>20.8</v>
      </c>
      <c r="U5" s="122"/>
      <c r="V5" s="122"/>
      <c r="W5" s="98">
        <f>IFERROR(SUMPRODUCT(W4:W4,Q4:Q4)/Q5,0)</f>
        <v>22</v>
      </c>
      <c r="X5" s="51"/>
      <c r="Y5" s="51">
        <f>SUM(Y4:Y4)</f>
        <v>33000</v>
      </c>
    </row>
    <row r="6" spans="2:25" x14ac:dyDescent="0.25">
      <c r="B6" s="17" t="s">
        <v>214</v>
      </c>
      <c r="D6" s="70"/>
      <c r="E6" s="70" t="s">
        <v>215</v>
      </c>
      <c r="F6" s="20"/>
      <c r="G6" s="21" t="s">
        <v>78</v>
      </c>
      <c r="H6" s="34">
        <f>SUM(H4:H5)</f>
        <v>29640</v>
      </c>
      <c r="I6" s="35"/>
      <c r="J6" s="36"/>
      <c r="K6" s="34">
        <f>SUM(K4:K5)</f>
        <v>31350</v>
      </c>
      <c r="L6" s="35"/>
      <c r="M6" s="36"/>
      <c r="O6" s="15"/>
      <c r="Q6" s="6"/>
      <c r="R6" s="58"/>
    </row>
    <row r="7" spans="2:25" x14ac:dyDescent="0.25">
      <c r="B7" s="17" t="s">
        <v>70</v>
      </c>
      <c r="D7" s="70"/>
      <c r="E7" s="90">
        <v>21048</v>
      </c>
      <c r="F7" s="20"/>
      <c r="G7" s="20"/>
      <c r="H7" s="32"/>
      <c r="J7" s="43"/>
      <c r="K7" s="32"/>
      <c r="M7" s="43"/>
      <c r="O7" s="14" t="s">
        <v>1</v>
      </c>
      <c r="P7" s="52"/>
      <c r="Q7" s="59"/>
      <c r="R7" s="52"/>
      <c r="S7" s="52"/>
      <c r="T7" s="52"/>
      <c r="U7" s="124"/>
      <c r="V7" s="124"/>
    </row>
    <row r="8" spans="2:25" ht="15" thickBot="1" x14ac:dyDescent="0.3">
      <c r="B8" s="17" t="s">
        <v>17</v>
      </c>
      <c r="D8" s="71"/>
      <c r="E8" s="71">
        <f>16</f>
        <v>16</v>
      </c>
      <c r="F8" s="20"/>
      <c r="G8" s="19" t="s">
        <v>79</v>
      </c>
      <c r="H8" s="29">
        <f>T13</f>
        <v>436200</v>
      </c>
      <c r="I8" s="30"/>
      <c r="J8" s="31"/>
      <c r="K8" s="29">
        <f>H8</f>
        <v>436200</v>
      </c>
      <c r="L8" s="30"/>
      <c r="M8" s="31"/>
      <c r="O8" s="4" t="s">
        <v>6</v>
      </c>
      <c r="P8" s="4" t="s">
        <v>7</v>
      </c>
      <c r="Q8" s="60" t="s">
        <v>8</v>
      </c>
      <c r="R8" s="5" t="s">
        <v>9</v>
      </c>
      <c r="S8" s="5" t="s">
        <v>10</v>
      </c>
      <c r="T8" s="47" t="s">
        <v>5</v>
      </c>
      <c r="U8" s="125"/>
      <c r="V8" s="125"/>
    </row>
    <row r="9" spans="2:25" x14ac:dyDescent="0.25">
      <c r="B9" s="17" t="s">
        <v>18</v>
      </c>
      <c r="D9" s="70"/>
      <c r="E9" s="70">
        <v>0.61</v>
      </c>
      <c r="F9" s="20"/>
      <c r="G9" s="20" t="s">
        <v>80</v>
      </c>
      <c r="H9" s="32">
        <f>H10-H8</f>
        <v>-57300</v>
      </c>
      <c r="J9" s="43"/>
      <c r="K9" s="32">
        <f>K10-K8</f>
        <v>0</v>
      </c>
      <c r="M9" s="43"/>
      <c r="O9" s="7" t="s">
        <v>92</v>
      </c>
      <c r="P9" s="56">
        <f>IF(O9="*Insert Unit Type*","",COUNTIF($P$18:$P$32,O9))</f>
        <v>7</v>
      </c>
      <c r="Q9" s="58">
        <f>IFERROR(AVERAGEIF($P$18:$P$32,O9,$Q$18:$Q$32),"")</f>
        <v>742.85714285714289</v>
      </c>
      <c r="R9" s="46">
        <f>IF(O9="*Insert Unit Type*","",(AVERAGEIF($P$18:$P$32,O9,$R$18:$R$32)))</f>
        <v>1928.5714285714287</v>
      </c>
      <c r="S9" s="46">
        <f>IF(O9="*Insert Unit Type*","",_xlfn.MAXIFS($R$18:$R$32,$P$18:$P$32,O9))</f>
        <v>2050</v>
      </c>
      <c r="T9" s="8">
        <v>2250</v>
      </c>
    </row>
    <row r="10" spans="2:25" x14ac:dyDescent="0.25">
      <c r="B10" s="14" t="s">
        <v>19</v>
      </c>
      <c r="C10" s="73"/>
      <c r="D10" s="73"/>
      <c r="E10" s="73"/>
      <c r="F10" s="20"/>
      <c r="G10" s="19" t="s">
        <v>81</v>
      </c>
      <c r="H10" s="29">
        <f>R13</f>
        <v>378900</v>
      </c>
      <c r="I10" s="30"/>
      <c r="J10" s="31"/>
      <c r="K10" s="29">
        <f>T13</f>
        <v>436200</v>
      </c>
      <c r="L10" s="30"/>
      <c r="M10" s="31"/>
      <c r="O10" s="7" t="s">
        <v>98</v>
      </c>
      <c r="P10" s="56">
        <f>IF(O10="*Insert Unit Type*","",COUNTIF($P$18:$P$32,O10))</f>
        <v>4</v>
      </c>
      <c r="Q10" s="58">
        <f>IFERROR(AVERAGEIF($P$18:$P$32,O10,$Q$18:$Q$32),"")</f>
        <v>912.5</v>
      </c>
      <c r="R10" s="46">
        <f>IF(O10="*Insert Unit Type*","",(AVERAGEIF($P$18:$P$32,O10,$R$18:$R$32)))</f>
        <v>2181.25</v>
      </c>
      <c r="S10" s="46">
        <f>IF(O10="*Insert Unit Type*","",_xlfn.MAXIFS($R$18:$R$32,$P$18:$P$32,O10))</f>
        <v>2225</v>
      </c>
      <c r="T10" s="8">
        <v>2500</v>
      </c>
    </row>
    <row r="11" spans="2:25" x14ac:dyDescent="0.25">
      <c r="B11" s="17" t="s">
        <v>20</v>
      </c>
      <c r="D11" s="72"/>
      <c r="E11" s="72">
        <v>4300000</v>
      </c>
      <c r="F11" s="20"/>
      <c r="G11" s="20" t="s">
        <v>15</v>
      </c>
      <c r="H11" s="32">
        <f>-ABS(H10*J11)</f>
        <v>-18945</v>
      </c>
      <c r="J11" s="43">
        <v>0.05</v>
      </c>
      <c r="K11" s="32">
        <f>-ABS(K10*M11)</f>
        <v>-21810</v>
      </c>
      <c r="M11" s="43">
        <v>0.05</v>
      </c>
      <c r="O11" s="7" t="s">
        <v>95</v>
      </c>
      <c r="P11" s="56">
        <f>IF(O11="*Insert Unit Type*","",COUNTIF($P$18:$P$32,O11))</f>
        <v>3</v>
      </c>
      <c r="Q11" s="58">
        <f>IFERROR(AVERAGEIF($P$18:$P$32,O11,$Q$18:$Q$32),"")</f>
        <v>1040</v>
      </c>
      <c r="R11" s="46">
        <f>IF(O11="*Insert Unit Type*","",(AVERAGEIF($P$18:$P$32,O11,$R$18:$R$32)))</f>
        <v>2316.6666666666665</v>
      </c>
      <c r="S11" s="46">
        <f>IF(O11="*Insert Unit Type*","",_xlfn.MAXIFS($R$18:$R$32,$P$18:$P$32,O11))</f>
        <v>2350</v>
      </c>
      <c r="T11" s="8">
        <v>2600</v>
      </c>
    </row>
    <row r="12" spans="2:25" x14ac:dyDescent="0.25">
      <c r="B12" s="17" t="s">
        <v>22</v>
      </c>
      <c r="D12" s="69"/>
      <c r="E12" s="69">
        <f>IFERROR(E11/E8,0)</f>
        <v>268750</v>
      </c>
      <c r="F12" s="20"/>
      <c r="G12" s="21" t="s">
        <v>82</v>
      </c>
      <c r="H12" s="34">
        <f>SUM(H10:H11)</f>
        <v>359955</v>
      </c>
      <c r="I12" s="35"/>
      <c r="J12" s="36"/>
      <c r="K12" s="34">
        <f>SUM(K10:K11)</f>
        <v>414390</v>
      </c>
      <c r="L12" s="35"/>
      <c r="M12" s="36"/>
      <c r="O12" s="7" t="s">
        <v>107</v>
      </c>
      <c r="P12" s="56">
        <f>IF(O12="*Insert Unit Type*","",COUNTIF($P$18:$P$32,O12))</f>
        <v>1</v>
      </c>
      <c r="Q12" s="58">
        <f>IFERROR(AVERAGEIF($P$18:$P$32,O12,$Q$18:$Q$32),"")</f>
        <v>1150</v>
      </c>
      <c r="R12" s="46">
        <f>IF(O12="*Insert Unit Type*","",(AVERAGEIF($P$18:$P$32,O12,$R$18:$R$32)))</f>
        <v>2400</v>
      </c>
      <c r="S12" s="46">
        <f>IF(O12="*Insert Unit Type*","",_xlfn.MAXIFS($R$18:$R$32,$P$18:$P$32,O12))</f>
        <v>2400</v>
      </c>
      <c r="T12" s="8">
        <v>2800</v>
      </c>
    </row>
    <row r="13" spans="2:25" x14ac:dyDescent="0.25">
      <c r="B13" s="23" t="s">
        <v>24</v>
      </c>
      <c r="C13" s="74"/>
      <c r="D13" s="74"/>
      <c r="E13" s="74">
        <f>E11/E7</f>
        <v>204.29494488787535</v>
      </c>
      <c r="F13" s="20"/>
      <c r="G13" s="22"/>
      <c r="H13" s="32"/>
      <c r="I13" s="99"/>
      <c r="J13" s="33"/>
      <c r="K13" s="32"/>
      <c r="L13" s="99"/>
      <c r="M13" s="33"/>
      <c r="O13" s="12" t="s">
        <v>21</v>
      </c>
      <c r="P13" s="13">
        <f>SUM(P9:P12)</f>
        <v>15</v>
      </c>
      <c r="Q13" s="61"/>
      <c r="R13" s="53">
        <f>SUMPRODUCT($P$9:$P$12,R9:R12)*12</f>
        <v>378900</v>
      </c>
      <c r="S13" s="53">
        <f>SUMPRODUCT($P$9:$P$12,S9:S12)*12</f>
        <v>392400</v>
      </c>
      <c r="T13" s="53">
        <f>SUMPRODUCT($P$9:$P$12,T9:T12)*12</f>
        <v>436200</v>
      </c>
      <c r="U13" s="122"/>
      <c r="V13" s="122"/>
    </row>
    <row r="14" spans="2:25" x14ac:dyDescent="0.25">
      <c r="B14" s="85" t="s">
        <v>66</v>
      </c>
      <c r="D14" s="67"/>
      <c r="E14" s="67">
        <f>H39/E11</f>
        <v>6.0461565116279065E-2</v>
      </c>
      <c r="F14" s="20"/>
      <c r="G14" s="21" t="s">
        <v>83</v>
      </c>
      <c r="H14" s="34">
        <f>H6+H12</f>
        <v>389595</v>
      </c>
      <c r="I14" s="35"/>
      <c r="J14" s="36"/>
      <c r="K14" s="34">
        <f>K6+K12</f>
        <v>445740</v>
      </c>
      <c r="L14" s="35"/>
      <c r="M14" s="36"/>
      <c r="O14" s="27" t="s">
        <v>23</v>
      </c>
      <c r="P14" s="54"/>
      <c r="Q14" s="62">
        <f>IFERROR(AVERAGE(Q18:Q32),0)</f>
        <v>874.66666666666663</v>
      </c>
      <c r="R14" s="55">
        <f>IFERROR(AVERAGE(R18:R32),0)</f>
        <v>2105</v>
      </c>
      <c r="S14" s="55">
        <f>IFERROR(AVERAGE(S18:S32),0)</f>
        <v>2180</v>
      </c>
      <c r="T14" s="55">
        <f>IFERROR(AVERAGE(T18:T32),0)</f>
        <v>2423.3333333333335</v>
      </c>
      <c r="U14" s="126"/>
      <c r="V14" s="126"/>
    </row>
    <row r="15" spans="2:25" x14ac:dyDescent="0.25">
      <c r="B15" s="86" t="s">
        <v>67</v>
      </c>
      <c r="C15" s="84"/>
      <c r="D15" s="68"/>
      <c r="E15" s="68">
        <f>K39/E11</f>
        <v>7.2865693023255809E-2</v>
      </c>
      <c r="F15" s="20"/>
      <c r="G15" s="22"/>
      <c r="H15" s="32"/>
      <c r="I15" s="99"/>
      <c r="J15" s="33"/>
      <c r="K15" s="32"/>
      <c r="L15" s="99"/>
      <c r="M15" s="33"/>
    </row>
    <row r="16" spans="2:25" x14ac:dyDescent="0.25">
      <c r="B16" s="85" t="s">
        <v>68</v>
      </c>
      <c r="E16" s="67">
        <f>H45</f>
        <v>3.1886455096651112E-2</v>
      </c>
      <c r="F16" s="20"/>
      <c r="G16" s="22" t="s">
        <v>188</v>
      </c>
      <c r="H16" s="32">
        <v>661.67000000000007</v>
      </c>
      <c r="I16" s="58">
        <f t="shared" ref="I16:I21" si="0">IFERROR(H16/$E$8,0)</f>
        <v>41.354375000000005</v>
      </c>
      <c r="J16" s="33"/>
      <c r="K16" s="32">
        <f>H16</f>
        <v>661.67000000000007</v>
      </c>
      <c r="L16" s="58">
        <f t="shared" ref="L16:L21" si="1">IFERROR(K16/$E$8,0)</f>
        <v>41.354375000000005</v>
      </c>
      <c r="M16" s="33"/>
      <c r="O16" s="14" t="s">
        <v>25</v>
      </c>
      <c r="P16" s="28"/>
      <c r="Q16" s="63"/>
      <c r="R16" s="28"/>
      <c r="S16" s="28"/>
      <c r="T16" s="28"/>
      <c r="U16" s="120"/>
      <c r="V16" s="120"/>
    </row>
    <row r="17" spans="2:22" ht="15" thickBot="1" x14ac:dyDescent="0.3">
      <c r="B17" s="86" t="s">
        <v>69</v>
      </c>
      <c r="C17" s="84"/>
      <c r="D17" s="84"/>
      <c r="E17" s="68">
        <f>K45</f>
        <v>6.7326820545156096E-2</v>
      </c>
      <c r="F17" s="20"/>
      <c r="G17" s="22" t="s">
        <v>187</v>
      </c>
      <c r="H17" s="32">
        <v>120</v>
      </c>
      <c r="I17" s="58">
        <f t="shared" si="0"/>
        <v>7.5</v>
      </c>
      <c r="J17" s="33"/>
      <c r="K17" s="32">
        <f>H17</f>
        <v>120</v>
      </c>
      <c r="L17" s="58">
        <f t="shared" si="1"/>
        <v>7.5</v>
      </c>
      <c r="M17" s="33"/>
      <c r="O17" s="48" t="s">
        <v>27</v>
      </c>
      <c r="P17" s="48" t="s">
        <v>6</v>
      </c>
      <c r="Q17" s="64" t="s">
        <v>8</v>
      </c>
      <c r="R17" s="47" t="s">
        <v>9</v>
      </c>
      <c r="S17" s="5" t="s">
        <v>10</v>
      </c>
      <c r="T17" s="5" t="s">
        <v>5</v>
      </c>
      <c r="U17" s="121" t="s">
        <v>28</v>
      </c>
      <c r="V17" s="121" t="s">
        <v>29</v>
      </c>
    </row>
    <row r="18" spans="2:22" x14ac:dyDescent="0.25">
      <c r="B18" s="17" t="s">
        <v>31</v>
      </c>
      <c r="D18" s="69"/>
      <c r="E18" s="69">
        <f>R14</f>
        <v>2105</v>
      </c>
      <c r="F18" s="20"/>
      <c r="G18" s="22" t="s">
        <v>186</v>
      </c>
      <c r="H18" s="32">
        <v>1112.5</v>
      </c>
      <c r="I18" s="58">
        <f t="shared" si="0"/>
        <v>69.53125</v>
      </c>
      <c r="J18" s="33"/>
      <c r="K18" s="32">
        <f>H18</f>
        <v>1112.5</v>
      </c>
      <c r="L18" s="58">
        <f t="shared" si="1"/>
        <v>69.53125</v>
      </c>
      <c r="M18" s="33"/>
      <c r="O18" s="7" t="s">
        <v>127</v>
      </c>
      <c r="P18" s="7" t="s">
        <v>98</v>
      </c>
      <c r="Q18" s="57">
        <v>900</v>
      </c>
      <c r="R18" s="57">
        <v>2150</v>
      </c>
      <c r="S18" s="46">
        <f t="shared" ref="S18:S32" si="2">IF(P18="","",_xlfn.XLOOKUP(P18,$O$9:$O$12,$S$9:$S$12))</f>
        <v>2225</v>
      </c>
      <c r="T18" s="9">
        <f t="shared" ref="T18:T32" si="3">IF(P18="*Insert Unit Type*","",_xlfn.XLOOKUP(P18,$O$9:$O$12,$T$9:$T$12,""))</f>
        <v>2500</v>
      </c>
      <c r="U18" s="89">
        <v>43589</v>
      </c>
      <c r="V18" s="89">
        <v>46203</v>
      </c>
    </row>
    <row r="19" spans="2:22" x14ac:dyDescent="0.25">
      <c r="B19" s="17" t="s">
        <v>33</v>
      </c>
      <c r="D19" s="69"/>
      <c r="E19" s="69">
        <f>S14</f>
        <v>2180</v>
      </c>
      <c r="F19" s="20"/>
      <c r="G19" s="22" t="s">
        <v>185</v>
      </c>
      <c r="H19" s="32">
        <v>2372.5</v>
      </c>
      <c r="I19" s="58">
        <f t="shared" si="0"/>
        <v>148.28125</v>
      </c>
      <c r="J19" s="33"/>
      <c r="K19" s="32">
        <f>H19</f>
        <v>2372.5</v>
      </c>
      <c r="L19" s="58">
        <f t="shared" si="1"/>
        <v>148.28125</v>
      </c>
      <c r="M19" s="33"/>
      <c r="O19" s="7" t="s">
        <v>122</v>
      </c>
      <c r="P19" s="7" t="s">
        <v>92</v>
      </c>
      <c r="Q19" s="57">
        <v>750</v>
      </c>
      <c r="R19" s="57">
        <v>1950</v>
      </c>
      <c r="S19" s="46">
        <f t="shared" si="2"/>
        <v>2050</v>
      </c>
      <c r="T19" s="9">
        <f t="shared" si="3"/>
        <v>2250</v>
      </c>
      <c r="U19" s="89">
        <v>46068</v>
      </c>
      <c r="V19" s="89">
        <v>46446</v>
      </c>
    </row>
    <row r="20" spans="2:22" x14ac:dyDescent="0.25">
      <c r="B20" s="17" t="s">
        <v>35</v>
      </c>
      <c r="D20" s="69"/>
      <c r="E20" s="69">
        <f>T14</f>
        <v>2423.3333333333335</v>
      </c>
      <c r="F20" s="20"/>
      <c r="G20" s="22" t="s">
        <v>184</v>
      </c>
      <c r="H20" s="37">
        <v>150</v>
      </c>
      <c r="I20" s="58">
        <f t="shared" si="0"/>
        <v>9.375</v>
      </c>
      <c r="J20" s="33"/>
      <c r="K20" s="32">
        <f t="shared" ref="K20:K21" si="4">H20</f>
        <v>150</v>
      </c>
      <c r="L20" s="58">
        <f t="shared" si="1"/>
        <v>9.375</v>
      </c>
      <c r="M20" s="33"/>
      <c r="O20" s="7" t="s">
        <v>120</v>
      </c>
      <c r="P20" s="7" t="s">
        <v>92</v>
      </c>
      <c r="Q20" s="57">
        <v>500</v>
      </c>
      <c r="R20" s="57">
        <v>1800</v>
      </c>
      <c r="S20" s="46">
        <f t="shared" si="2"/>
        <v>2050</v>
      </c>
      <c r="T20" s="9">
        <f t="shared" si="3"/>
        <v>2250</v>
      </c>
      <c r="U20" s="89">
        <v>45576</v>
      </c>
      <c r="V20" s="89">
        <v>46326</v>
      </c>
    </row>
    <row r="21" spans="2:22" x14ac:dyDescent="0.25">
      <c r="B21" s="14" t="s">
        <v>45</v>
      </c>
      <c r="C21" s="10"/>
      <c r="D21" s="10"/>
      <c r="E21" s="10"/>
      <c r="F21" s="20"/>
      <c r="G21" s="22" t="s">
        <v>16</v>
      </c>
      <c r="H21" s="37">
        <f>E8*100</f>
        <v>1600</v>
      </c>
      <c r="I21" s="58">
        <f t="shared" si="0"/>
        <v>100</v>
      </c>
      <c r="J21" s="33"/>
      <c r="K21" s="32">
        <f t="shared" si="4"/>
        <v>1600</v>
      </c>
      <c r="L21" s="58">
        <f t="shared" si="1"/>
        <v>100</v>
      </c>
      <c r="M21" s="33"/>
      <c r="O21" s="7" t="s">
        <v>118</v>
      </c>
      <c r="P21" s="7" t="s">
        <v>92</v>
      </c>
      <c r="Q21" s="57">
        <v>750</v>
      </c>
      <c r="R21" s="57">
        <v>1800</v>
      </c>
      <c r="S21" s="46">
        <f t="shared" si="2"/>
        <v>2050</v>
      </c>
      <c r="T21" s="9">
        <f t="shared" si="3"/>
        <v>2250</v>
      </c>
      <c r="U21" s="89">
        <v>45575</v>
      </c>
      <c r="V21" s="89"/>
    </row>
    <row r="22" spans="2:22" x14ac:dyDescent="0.25">
      <c r="B22" s="15" t="s">
        <v>63</v>
      </c>
      <c r="E22" s="75">
        <v>0.65</v>
      </c>
      <c r="F22" s="20"/>
      <c r="G22" s="24" t="s">
        <v>26</v>
      </c>
      <c r="H22" s="38">
        <f>SUM(H16:H21)</f>
        <v>6016.67</v>
      </c>
      <c r="I22" s="38">
        <f>SUM(I20:I21)</f>
        <v>109.375</v>
      </c>
      <c r="J22" s="39"/>
      <c r="K22" s="38">
        <f>SUM(K16:K21)</f>
        <v>6016.67</v>
      </c>
      <c r="L22" s="38">
        <f>SUM(L20:L21)</f>
        <v>109.375</v>
      </c>
      <c r="M22" s="39"/>
      <c r="O22" s="7" t="s">
        <v>116</v>
      </c>
      <c r="P22" s="7" t="s">
        <v>98</v>
      </c>
      <c r="Q22" s="57">
        <v>950</v>
      </c>
      <c r="R22" s="57">
        <v>2125</v>
      </c>
      <c r="S22" s="46">
        <f t="shared" si="2"/>
        <v>2225</v>
      </c>
      <c r="T22" s="9">
        <f t="shared" si="3"/>
        <v>2500</v>
      </c>
      <c r="U22" s="89">
        <v>45212</v>
      </c>
      <c r="V22" s="89">
        <v>46022</v>
      </c>
    </row>
    <row r="23" spans="2:22" x14ac:dyDescent="0.25">
      <c r="B23" s="15" t="s">
        <v>46</v>
      </c>
      <c r="E23" s="76">
        <v>6.5000000000000002E-2</v>
      </c>
      <c r="F23" s="20"/>
      <c r="G23" s="20"/>
      <c r="H23" s="32"/>
      <c r="J23" s="33"/>
      <c r="K23" s="32"/>
      <c r="M23" s="33"/>
      <c r="O23" s="7" t="s">
        <v>114</v>
      </c>
      <c r="P23" s="7" t="s">
        <v>95</v>
      </c>
      <c r="Q23" s="57">
        <v>960</v>
      </c>
      <c r="R23" s="57">
        <v>2300</v>
      </c>
      <c r="S23" s="46">
        <f t="shared" si="2"/>
        <v>2350</v>
      </c>
      <c r="T23" s="9">
        <f t="shared" si="3"/>
        <v>2600</v>
      </c>
      <c r="U23" s="89">
        <v>45901</v>
      </c>
      <c r="V23" s="89">
        <v>46265</v>
      </c>
    </row>
    <row r="24" spans="2:22" x14ac:dyDescent="0.25">
      <c r="B24" s="15" t="s">
        <v>48</v>
      </c>
      <c r="E24" s="11">
        <v>30</v>
      </c>
      <c r="F24" s="20"/>
      <c r="G24" s="25" t="s">
        <v>30</v>
      </c>
      <c r="H24" s="40">
        <f>H14+H22</f>
        <v>395611.67</v>
      </c>
      <c r="I24" s="41"/>
      <c r="J24" s="42"/>
      <c r="K24" s="40">
        <f>K14+K22</f>
        <v>451756.67</v>
      </c>
      <c r="L24" s="41"/>
      <c r="M24" s="42"/>
      <c r="O24" s="7" t="s">
        <v>112</v>
      </c>
      <c r="P24" s="7" t="s">
        <v>92</v>
      </c>
      <c r="Q24" s="57">
        <v>850</v>
      </c>
      <c r="R24" s="57">
        <v>2000</v>
      </c>
      <c r="S24" s="46">
        <f t="shared" si="2"/>
        <v>2050</v>
      </c>
      <c r="T24" s="9">
        <f t="shared" si="3"/>
        <v>2250</v>
      </c>
      <c r="U24" s="89">
        <v>43617</v>
      </c>
      <c r="V24" s="89">
        <v>46265</v>
      </c>
    </row>
    <row r="25" spans="2:22" x14ac:dyDescent="0.25">
      <c r="B25" s="15" t="s">
        <v>49</v>
      </c>
      <c r="E25" s="87">
        <f>-PMT(E23/12,E24*12,E28)*12</f>
        <v>211995.61507954006</v>
      </c>
      <c r="F25" s="20"/>
      <c r="G25" s="20"/>
      <c r="J25" s="33"/>
      <c r="M25" s="33"/>
      <c r="O25" s="7" t="s">
        <v>110</v>
      </c>
      <c r="P25" s="7" t="s">
        <v>98</v>
      </c>
      <c r="Q25" s="57">
        <v>900</v>
      </c>
      <c r="R25" s="57">
        <v>2225</v>
      </c>
      <c r="S25" s="46">
        <f t="shared" si="2"/>
        <v>2225</v>
      </c>
      <c r="T25" s="9">
        <f t="shared" si="3"/>
        <v>2500</v>
      </c>
      <c r="U25" s="89">
        <v>44713</v>
      </c>
      <c r="V25" s="89">
        <v>45869</v>
      </c>
    </row>
    <row r="26" spans="2:22" x14ac:dyDescent="0.25">
      <c r="F26" s="20"/>
      <c r="G26" s="16" t="s">
        <v>32</v>
      </c>
      <c r="H26" s="148" t="s">
        <v>4</v>
      </c>
      <c r="I26" s="148"/>
      <c r="J26" s="148"/>
      <c r="K26" s="148" t="s">
        <v>5</v>
      </c>
      <c r="L26" s="148"/>
      <c r="M26" s="148"/>
      <c r="O26" s="7" t="s">
        <v>108</v>
      </c>
      <c r="P26" s="7" t="s">
        <v>107</v>
      </c>
      <c r="Q26" s="57">
        <v>1150</v>
      </c>
      <c r="R26" s="57">
        <v>2400</v>
      </c>
      <c r="S26" s="46">
        <f t="shared" si="2"/>
        <v>2400</v>
      </c>
      <c r="T26" s="9">
        <f t="shared" si="3"/>
        <v>2800</v>
      </c>
      <c r="U26" s="89">
        <v>45527</v>
      </c>
      <c r="V26" s="89">
        <v>45900</v>
      </c>
    </row>
    <row r="27" spans="2:22" x14ac:dyDescent="0.25">
      <c r="B27" s="15" t="s">
        <v>53</v>
      </c>
      <c r="E27" s="69">
        <f>E11*(1-E22)</f>
        <v>1505000</v>
      </c>
      <c r="F27" s="20"/>
      <c r="G27" s="18" t="s">
        <v>34</v>
      </c>
      <c r="H27" s="1" t="s">
        <v>210</v>
      </c>
      <c r="I27" s="2" t="s">
        <v>84</v>
      </c>
      <c r="J27" s="3" t="s">
        <v>3</v>
      </c>
      <c r="K27" s="1" t="str">
        <f>K3</f>
        <v>Pro Forma</v>
      </c>
      <c r="L27" s="2" t="s">
        <v>84</v>
      </c>
      <c r="M27" s="3" t="s">
        <v>3</v>
      </c>
      <c r="O27" s="7" t="s">
        <v>105</v>
      </c>
      <c r="P27" s="7" t="s">
        <v>92</v>
      </c>
      <c r="Q27" s="57">
        <v>750</v>
      </c>
      <c r="R27" s="57">
        <v>2050</v>
      </c>
      <c r="S27" s="46">
        <f t="shared" si="2"/>
        <v>2050</v>
      </c>
      <c r="T27" s="9">
        <f t="shared" si="3"/>
        <v>2250</v>
      </c>
      <c r="U27" s="89">
        <v>45901</v>
      </c>
      <c r="V27" s="89">
        <v>46265</v>
      </c>
    </row>
    <row r="28" spans="2:22" x14ac:dyDescent="0.25">
      <c r="B28" s="15" t="s">
        <v>64</v>
      </c>
      <c r="E28" s="88">
        <f>E11-E27</f>
        <v>2795000</v>
      </c>
      <c r="F28" s="20"/>
      <c r="G28" s="22" t="s">
        <v>36</v>
      </c>
      <c r="H28" s="32">
        <f>H24*J28</f>
        <v>19780.583500000001</v>
      </c>
      <c r="I28" s="58">
        <f t="shared" ref="I28:I36" si="5">IFERROR(H28/$E$8,0)</f>
        <v>1236.28646875</v>
      </c>
      <c r="J28" s="43">
        <v>0.05</v>
      </c>
      <c r="K28" s="32">
        <f>K24*M28</f>
        <v>22587.833500000001</v>
      </c>
      <c r="L28" s="58">
        <f t="shared" ref="L28:L36" si="6">IFERROR(K28/$E$8,0)</f>
        <v>1411.73959375</v>
      </c>
      <c r="M28" s="43">
        <v>0.05</v>
      </c>
      <c r="O28" s="7" t="s">
        <v>103</v>
      </c>
      <c r="P28" s="7" t="s">
        <v>95</v>
      </c>
      <c r="Q28" s="57">
        <v>1200</v>
      </c>
      <c r="R28" s="57">
        <v>2350</v>
      </c>
      <c r="S28" s="46">
        <f t="shared" si="2"/>
        <v>2350</v>
      </c>
      <c r="T28" s="9">
        <f t="shared" si="3"/>
        <v>2600</v>
      </c>
      <c r="U28" s="89">
        <v>46058</v>
      </c>
      <c r="V28" s="89">
        <v>46446</v>
      </c>
    </row>
    <row r="29" spans="2:22" x14ac:dyDescent="0.25">
      <c r="B29" s="15" t="s">
        <v>65</v>
      </c>
      <c r="E29" s="147">
        <f>H39/E25</f>
        <v>1.2263684317359798</v>
      </c>
      <c r="F29" s="20"/>
      <c r="G29" s="22" t="s">
        <v>37</v>
      </c>
      <c r="H29" s="37">
        <v>62906.226499999997</v>
      </c>
      <c r="I29" s="58">
        <f t="shared" si="5"/>
        <v>3931.6391562499998</v>
      </c>
      <c r="J29" s="33"/>
      <c r="K29" s="32">
        <f t="shared" ref="K29:K36" si="7">H29</f>
        <v>62906.226499999997</v>
      </c>
      <c r="L29" s="58">
        <f t="shared" si="6"/>
        <v>3931.6391562499998</v>
      </c>
      <c r="M29" s="33"/>
      <c r="O29" s="7" t="s">
        <v>101</v>
      </c>
      <c r="P29" s="7" t="s">
        <v>92</v>
      </c>
      <c r="Q29" s="57">
        <v>750</v>
      </c>
      <c r="R29" s="57">
        <v>1900</v>
      </c>
      <c r="S29" s="46">
        <f t="shared" si="2"/>
        <v>2050</v>
      </c>
      <c r="T29" s="9">
        <f t="shared" si="3"/>
        <v>2250</v>
      </c>
      <c r="U29" s="89">
        <v>43435</v>
      </c>
      <c r="V29" s="89">
        <v>46265</v>
      </c>
    </row>
    <row r="30" spans="2:22" x14ac:dyDescent="0.25">
      <c r="F30" s="20"/>
      <c r="G30" s="22" t="s">
        <v>38</v>
      </c>
      <c r="H30" s="37">
        <v>16000</v>
      </c>
      <c r="I30" s="58">
        <f t="shared" si="5"/>
        <v>1000</v>
      </c>
      <c r="J30" s="33"/>
      <c r="K30" s="32">
        <f t="shared" si="7"/>
        <v>16000</v>
      </c>
      <c r="L30" s="58">
        <f t="shared" si="6"/>
        <v>1000</v>
      </c>
      <c r="M30" s="33"/>
      <c r="O30" s="7" t="s">
        <v>99</v>
      </c>
      <c r="P30" s="7" t="s">
        <v>98</v>
      </c>
      <c r="Q30" s="57">
        <v>900</v>
      </c>
      <c r="R30" s="57">
        <v>2225</v>
      </c>
      <c r="S30" s="46">
        <f t="shared" si="2"/>
        <v>2225</v>
      </c>
      <c r="T30" s="9">
        <f t="shared" si="3"/>
        <v>2500</v>
      </c>
      <c r="U30" s="89">
        <v>45839</v>
      </c>
      <c r="V30" s="89">
        <v>46203</v>
      </c>
    </row>
    <row r="31" spans="2:22" x14ac:dyDescent="0.25">
      <c r="B31" s="14" t="s">
        <v>55</v>
      </c>
      <c r="C31" s="10"/>
      <c r="D31" s="10"/>
      <c r="E31" s="10"/>
      <c r="F31" s="20"/>
      <c r="G31" s="22" t="s">
        <v>39</v>
      </c>
      <c r="H31" s="37">
        <v>6928.65</v>
      </c>
      <c r="I31" s="58">
        <f t="shared" si="5"/>
        <v>433.04062499999998</v>
      </c>
      <c r="J31" s="33"/>
      <c r="K31" s="32">
        <f t="shared" si="7"/>
        <v>6928.65</v>
      </c>
      <c r="L31" s="58">
        <f t="shared" si="6"/>
        <v>433.04062499999998</v>
      </c>
      <c r="M31" s="33"/>
      <c r="O31" s="7" t="s">
        <v>96</v>
      </c>
      <c r="P31" s="7" t="s">
        <v>95</v>
      </c>
      <c r="Q31" s="57">
        <v>960</v>
      </c>
      <c r="R31" s="57">
        <v>2300</v>
      </c>
      <c r="S31" s="46">
        <f t="shared" si="2"/>
        <v>2350</v>
      </c>
      <c r="T31" s="9">
        <f t="shared" si="3"/>
        <v>2600</v>
      </c>
      <c r="U31" s="89">
        <v>44256</v>
      </c>
      <c r="V31" s="89">
        <v>46265</v>
      </c>
    </row>
    <row r="32" spans="2:22" x14ac:dyDescent="0.25">
      <c r="B32" s="15" t="s">
        <v>56</v>
      </c>
      <c r="E32" s="91">
        <v>27.95</v>
      </c>
      <c r="F32" s="20"/>
      <c r="G32" s="22" t="s">
        <v>40</v>
      </c>
      <c r="H32" s="37">
        <v>7610.18</v>
      </c>
      <c r="I32" s="58">
        <f t="shared" si="5"/>
        <v>475.63625000000002</v>
      </c>
      <c r="J32" s="33"/>
      <c r="K32" s="32">
        <f t="shared" si="7"/>
        <v>7610.18</v>
      </c>
      <c r="L32" s="58">
        <f t="shared" si="6"/>
        <v>475.63625000000002</v>
      </c>
      <c r="M32" s="33"/>
      <c r="O32" s="7" t="s">
        <v>93</v>
      </c>
      <c r="P32" s="7" t="s">
        <v>92</v>
      </c>
      <c r="Q32" s="57">
        <v>850</v>
      </c>
      <c r="R32" s="57">
        <v>2000</v>
      </c>
      <c r="S32" s="46">
        <f t="shared" si="2"/>
        <v>2050</v>
      </c>
      <c r="T32" s="9">
        <f t="shared" si="3"/>
        <v>2250</v>
      </c>
      <c r="U32" s="89">
        <v>43586</v>
      </c>
      <c r="V32" s="89">
        <v>46265</v>
      </c>
    </row>
    <row r="33" spans="2:22" x14ac:dyDescent="0.25">
      <c r="B33" s="15" t="s">
        <v>57</v>
      </c>
      <c r="E33" s="144">
        <v>2030</v>
      </c>
      <c r="F33" s="20"/>
      <c r="G33" s="22" t="s">
        <v>41</v>
      </c>
      <c r="H33" s="37">
        <v>6794.1600000000008</v>
      </c>
      <c r="I33" s="58">
        <f t="shared" si="5"/>
        <v>424.63500000000005</v>
      </c>
      <c r="J33" s="33"/>
      <c r="K33" s="32">
        <f t="shared" si="7"/>
        <v>6794.1600000000008</v>
      </c>
      <c r="L33" s="58">
        <f t="shared" si="6"/>
        <v>424.63500000000005</v>
      </c>
      <c r="M33" s="33"/>
      <c r="O33" s="26" t="s">
        <v>44</v>
      </c>
      <c r="P33" s="49"/>
      <c r="Q33" s="65">
        <f>SUM(Q18:Q32)</f>
        <v>13120</v>
      </c>
      <c r="R33" s="50">
        <f>SUM(R18:R32)</f>
        <v>31575</v>
      </c>
      <c r="S33" s="51">
        <f>SUM(S18:S32)</f>
        <v>32700</v>
      </c>
      <c r="T33" s="51">
        <f>SUM(T18:T32)</f>
        <v>36350</v>
      </c>
      <c r="U33" s="122"/>
      <c r="V33" s="122"/>
    </row>
    <row r="34" spans="2:22" x14ac:dyDescent="0.25">
      <c r="B34" s="15" t="s">
        <v>58</v>
      </c>
      <c r="E34" s="72">
        <v>2250670</v>
      </c>
      <c r="F34" s="20"/>
      <c r="G34" s="22" t="s">
        <v>42</v>
      </c>
      <c r="H34" s="37">
        <v>8000</v>
      </c>
      <c r="I34" s="58">
        <f t="shared" si="5"/>
        <v>500</v>
      </c>
      <c r="J34" s="33"/>
      <c r="K34" s="32">
        <f t="shared" si="7"/>
        <v>8000</v>
      </c>
      <c r="L34" s="58">
        <f t="shared" si="6"/>
        <v>500</v>
      </c>
      <c r="M34" s="33"/>
    </row>
    <row r="35" spans="2:22" x14ac:dyDescent="0.25">
      <c r="B35" s="15" t="s">
        <v>59</v>
      </c>
      <c r="E35" s="69">
        <f>E34/0.7</f>
        <v>3215242.8571428573</v>
      </c>
      <c r="F35" s="20"/>
      <c r="G35" s="22" t="s">
        <v>43</v>
      </c>
      <c r="H35" s="37">
        <v>6000</v>
      </c>
      <c r="I35" s="58">
        <f t="shared" si="5"/>
        <v>375</v>
      </c>
      <c r="J35" s="33"/>
      <c r="K35" s="32">
        <f t="shared" si="7"/>
        <v>6000</v>
      </c>
      <c r="L35" s="58">
        <f t="shared" si="6"/>
        <v>375</v>
      </c>
      <c r="M35" s="33"/>
    </row>
    <row r="36" spans="2:22" x14ac:dyDescent="0.25">
      <c r="B36" s="15" t="s">
        <v>60</v>
      </c>
      <c r="E36" s="72">
        <v>0</v>
      </c>
      <c r="F36" s="20"/>
      <c r="G36" s="22" t="s">
        <v>209</v>
      </c>
      <c r="H36" s="37">
        <v>1607.1399999999999</v>
      </c>
      <c r="I36" s="58">
        <f t="shared" si="5"/>
        <v>100.44624999999999</v>
      </c>
      <c r="J36" s="33"/>
      <c r="K36" s="32">
        <f t="shared" si="7"/>
        <v>1607.1399999999999</v>
      </c>
      <c r="L36" s="58">
        <f t="shared" si="6"/>
        <v>100.44624999999999</v>
      </c>
      <c r="M36" s="33"/>
    </row>
    <row r="37" spans="2:22" x14ac:dyDescent="0.25">
      <c r="B37" s="15" t="s">
        <v>62</v>
      </c>
      <c r="E37" s="69">
        <f>E34-E36</f>
        <v>2250670</v>
      </c>
      <c r="F37" s="20"/>
      <c r="G37" s="21" t="s">
        <v>47</v>
      </c>
      <c r="H37" s="34">
        <f>SUM(H28:H36)</f>
        <v>135626.94</v>
      </c>
      <c r="I37" s="34">
        <f>SUM(I28:I36)</f>
        <v>8476.6837500000001</v>
      </c>
      <c r="J37" s="36">
        <f>IFERROR(H37/H24,0)</f>
        <v>0.34282846105121217</v>
      </c>
      <c r="K37" s="34">
        <f>SUM(K28:K36)</f>
        <v>138434.19</v>
      </c>
      <c r="L37" s="34">
        <f>SUM(L28:L36)</f>
        <v>8652.1368750000001</v>
      </c>
      <c r="M37" s="36">
        <f>IFERROR(K37/K24,0)</f>
        <v>0.30643529845392214</v>
      </c>
    </row>
    <row r="38" spans="2:22" x14ac:dyDescent="0.25">
      <c r="B38" s="15" t="s">
        <v>61</v>
      </c>
      <c r="E38" s="145">
        <f>E37*E32/1000</f>
        <v>62906.226499999997</v>
      </c>
      <c r="F38" s="20"/>
      <c r="G38" s="20"/>
      <c r="H38" s="32"/>
      <c r="J38" s="33"/>
      <c r="K38" s="32"/>
      <c r="M38" s="33"/>
    </row>
    <row r="39" spans="2:22" x14ac:dyDescent="0.25">
      <c r="F39" s="20"/>
      <c r="G39" s="77" t="s">
        <v>50</v>
      </c>
      <c r="H39" s="80">
        <f>H24-H37</f>
        <v>259984.72999999998</v>
      </c>
      <c r="I39" s="44"/>
      <c r="J39" s="78"/>
      <c r="K39" s="80">
        <f>K24-K37</f>
        <v>313322.48</v>
      </c>
      <c r="L39" s="44"/>
      <c r="M39" s="78"/>
    </row>
    <row r="40" spans="2:22" x14ac:dyDescent="0.25">
      <c r="F40" s="20"/>
      <c r="H40" s="81"/>
      <c r="K40" s="81"/>
    </row>
    <row r="41" spans="2:22" x14ac:dyDescent="0.25">
      <c r="F41" s="20"/>
      <c r="G41" s="26" t="s">
        <v>51</v>
      </c>
      <c r="H41" s="82">
        <f>E25</f>
        <v>211995.61507954006</v>
      </c>
      <c r="I41" s="34"/>
      <c r="J41" s="79"/>
      <c r="K41" s="82">
        <f>E25</f>
        <v>211995.61507954006</v>
      </c>
      <c r="L41" s="34"/>
      <c r="M41" s="79"/>
    </row>
    <row r="42" spans="2:22" x14ac:dyDescent="0.25">
      <c r="F42" s="20"/>
      <c r="H42" s="81"/>
      <c r="K42" s="81"/>
    </row>
    <row r="43" spans="2:22" x14ac:dyDescent="0.25">
      <c r="F43" s="20"/>
      <c r="G43" s="77" t="s">
        <v>52</v>
      </c>
      <c r="H43" s="80">
        <f>H39-H41</f>
        <v>47989.114920459921</v>
      </c>
      <c r="I43" s="44"/>
      <c r="J43" s="78"/>
      <c r="K43" s="80">
        <f>K39-K41</f>
        <v>101326.86492045992</v>
      </c>
      <c r="L43" s="44"/>
      <c r="M43" s="78"/>
    </row>
    <row r="44" spans="2:22" x14ac:dyDescent="0.25">
      <c r="F44" s="20"/>
      <c r="N44" s="83"/>
    </row>
    <row r="45" spans="2:22" x14ac:dyDescent="0.25">
      <c r="F45" s="20"/>
      <c r="G45" s="15" t="s">
        <v>54</v>
      </c>
      <c r="H45" s="45">
        <f>H43/E27</f>
        <v>3.1886455096651112E-2</v>
      </c>
      <c r="I45" s="45"/>
      <c r="K45" s="45">
        <f>K43/E27</f>
        <v>6.7326820545156096E-2</v>
      </c>
      <c r="N45" s="83"/>
    </row>
    <row r="46" spans="2:22" x14ac:dyDescent="0.25">
      <c r="F46" s="20"/>
      <c r="N46" s="83"/>
    </row>
    <row r="47" spans="2:22" x14ac:dyDescent="0.25">
      <c r="F47" s="20"/>
      <c r="N47" s="83"/>
    </row>
    <row r="48" spans="2:22" x14ac:dyDescent="0.25">
      <c r="F48" s="20"/>
      <c r="N48" s="83"/>
    </row>
  </sheetData>
  <mergeCells count="4">
    <mergeCell ref="H2:J2"/>
    <mergeCell ref="K2:M2"/>
    <mergeCell ref="H26:J26"/>
    <mergeCell ref="K26:M26"/>
  </mergeCells>
  <pageMargins left="0.7" right="0.7" top="0.75" bottom="0.75" header="0.3" footer="0.3"/>
  <pageSetup orientation="portrait" horizontalDpi="1200" verticalDpi="1200" r:id="rId1"/>
  <ignoredErrors>
    <ignoredError sqref="J3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CD98-42B2-4FC2-B022-FD38D4A35265}">
  <dimension ref="A1:M36"/>
  <sheetViews>
    <sheetView showWhiteSpace="0" topLeftCell="A6" workbookViewId="0">
      <selection activeCell="J12" sqref="J12:K26"/>
    </sheetView>
  </sheetViews>
  <sheetFormatPr defaultColWidth="8.7109375" defaultRowHeight="14.25" x14ac:dyDescent="0.2"/>
  <cols>
    <col min="1" max="1" width="14.7109375" style="100" bestFit="1" customWidth="1"/>
    <col min="2" max="2" width="14.85546875" style="100" bestFit="1" customWidth="1"/>
    <col min="3" max="3" width="17" style="100" bestFit="1" customWidth="1"/>
    <col min="4" max="4" width="31.42578125" style="100" bestFit="1" customWidth="1"/>
    <col min="5" max="5" width="35.42578125" style="100" bestFit="1" customWidth="1"/>
    <col min="6" max="6" width="15.7109375" style="100" bestFit="1" customWidth="1"/>
    <col min="7" max="7" width="29.85546875" style="100" bestFit="1" customWidth="1"/>
    <col min="8" max="8" width="19.5703125" style="100" bestFit="1" customWidth="1"/>
    <col min="9" max="9" width="21.28515625" style="100" bestFit="1" customWidth="1"/>
    <col min="10" max="10" width="27.5703125" style="100" bestFit="1" customWidth="1"/>
    <col min="11" max="11" width="23.42578125" style="100" bestFit="1" customWidth="1"/>
    <col min="12" max="12" width="21.28515625" style="100" bestFit="1" customWidth="1"/>
    <col min="13" max="13" width="23.42578125" style="100" bestFit="1" customWidth="1"/>
    <col min="14" max="16384" width="8.7109375" style="100"/>
  </cols>
  <sheetData>
    <row r="1" spans="1:13" ht="23.25" x14ac:dyDescent="0.35">
      <c r="A1" s="149" t="s">
        <v>25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</row>
    <row r="2" spans="1:13" x14ac:dyDescent="0.2">
      <c r="A2" s="150" t="s">
        <v>147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</row>
    <row r="3" spans="1:13" x14ac:dyDescent="0.2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</row>
    <row r="4" spans="1:13" ht="16.5" x14ac:dyDescent="0.2">
      <c r="A4" s="151" t="s">
        <v>146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</row>
    <row r="5" spans="1:13" ht="16.5" x14ac:dyDescent="0.2">
      <c r="A5" s="151" t="s">
        <v>145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</row>
    <row r="6" spans="1:13" ht="16.5" x14ac:dyDescent="0.2">
      <c r="A6" s="151" t="s">
        <v>144</v>
      </c>
      <c r="B6" s="151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</row>
    <row r="7" spans="1:13" ht="16.5" x14ac:dyDescent="0.2">
      <c r="A7" s="151" t="s">
        <v>143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</row>
    <row r="8" spans="1:13" ht="16.5" x14ac:dyDescent="0.2">
      <c r="A8" s="151" t="s">
        <v>142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</row>
    <row r="9" spans="1:13" x14ac:dyDescent="0.2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</row>
    <row r="10" spans="1:13" ht="16.5" x14ac:dyDescent="0.25">
      <c r="A10" s="109" t="s">
        <v>141</v>
      </c>
      <c r="B10" s="109" t="s">
        <v>140</v>
      </c>
      <c r="C10" s="109" t="s">
        <v>139</v>
      </c>
      <c r="D10" s="109" t="s">
        <v>72</v>
      </c>
      <c r="E10" s="109" t="s">
        <v>138</v>
      </c>
      <c r="F10" s="109" t="s">
        <v>137</v>
      </c>
      <c r="G10" s="109" t="s">
        <v>136</v>
      </c>
      <c r="H10" s="109" t="s">
        <v>135</v>
      </c>
      <c r="I10" s="109" t="s">
        <v>134</v>
      </c>
      <c r="J10" s="109" t="s">
        <v>133</v>
      </c>
      <c r="K10" s="109" t="s">
        <v>132</v>
      </c>
      <c r="L10" s="109" t="s">
        <v>131</v>
      </c>
      <c r="M10" s="109" t="s">
        <v>130</v>
      </c>
    </row>
    <row r="11" spans="1:13" ht="15.75" x14ac:dyDescent="0.25">
      <c r="A11" s="152" t="s">
        <v>129</v>
      </c>
      <c r="B11" s="152" t="s">
        <v>128</v>
      </c>
      <c r="C11" s="152" t="s">
        <v>128</v>
      </c>
      <c r="D11" s="152" t="s">
        <v>128</v>
      </c>
      <c r="E11" s="152" t="s">
        <v>128</v>
      </c>
      <c r="F11" s="152" t="s">
        <v>128</v>
      </c>
      <c r="G11" s="152" t="s">
        <v>128</v>
      </c>
      <c r="H11" s="152" t="s">
        <v>128</v>
      </c>
      <c r="I11" s="152" t="s">
        <v>128</v>
      </c>
      <c r="J11" s="152" t="s">
        <v>128</v>
      </c>
      <c r="K11" s="152" t="s">
        <v>128</v>
      </c>
      <c r="L11" s="152" t="s">
        <v>128</v>
      </c>
      <c r="M11" s="152" t="s">
        <v>128</v>
      </c>
    </row>
    <row r="12" spans="1:13" ht="15" x14ac:dyDescent="0.2">
      <c r="A12" s="108" t="s">
        <v>127</v>
      </c>
      <c r="B12" s="108"/>
      <c r="C12" s="108" t="s">
        <v>98</v>
      </c>
      <c r="D12" s="108" t="s">
        <v>126</v>
      </c>
      <c r="E12" s="108" t="s">
        <v>4</v>
      </c>
      <c r="F12" s="107">
        <v>900</v>
      </c>
      <c r="G12" s="106">
        <v>2000</v>
      </c>
      <c r="H12" s="106">
        <v>2150</v>
      </c>
      <c r="I12" s="106">
        <v>1000</v>
      </c>
      <c r="J12" s="105">
        <v>43589</v>
      </c>
      <c r="K12" s="105">
        <v>46203</v>
      </c>
      <c r="L12" s="105">
        <v>43589</v>
      </c>
      <c r="M12" s="105"/>
    </row>
    <row r="13" spans="1:13" ht="15" x14ac:dyDescent="0.2">
      <c r="A13" s="108" t="s">
        <v>122</v>
      </c>
      <c r="B13" s="108"/>
      <c r="C13" s="108" t="s">
        <v>92</v>
      </c>
      <c r="D13" s="108" t="s">
        <v>121</v>
      </c>
      <c r="E13" s="108" t="s">
        <v>4</v>
      </c>
      <c r="F13" s="107">
        <v>750</v>
      </c>
      <c r="G13" s="106">
        <v>1950</v>
      </c>
      <c r="H13" s="106">
        <v>1950</v>
      </c>
      <c r="I13" s="106">
        <v>1950</v>
      </c>
      <c r="J13" s="105">
        <v>46068</v>
      </c>
      <c r="K13" s="105">
        <v>46446</v>
      </c>
      <c r="L13" s="105">
        <v>46068</v>
      </c>
      <c r="M13" s="105"/>
    </row>
    <row r="14" spans="1:13" ht="15" x14ac:dyDescent="0.2">
      <c r="A14" s="108" t="s">
        <v>120</v>
      </c>
      <c r="B14" s="108"/>
      <c r="C14" s="108" t="s">
        <v>92</v>
      </c>
      <c r="D14" s="108" t="s">
        <v>119</v>
      </c>
      <c r="E14" s="108" t="s">
        <v>4</v>
      </c>
      <c r="F14" s="107">
        <v>500</v>
      </c>
      <c r="G14" s="106">
        <v>1750</v>
      </c>
      <c r="H14" s="106">
        <v>1800</v>
      </c>
      <c r="I14" s="106">
        <v>1750</v>
      </c>
      <c r="J14" s="105">
        <v>45576</v>
      </c>
      <c r="K14" s="105">
        <v>46326</v>
      </c>
      <c r="L14" s="105">
        <v>45576</v>
      </c>
      <c r="M14" s="105"/>
    </row>
    <row r="15" spans="1:13" ht="15" x14ac:dyDescent="0.2">
      <c r="A15" s="108" t="s">
        <v>118</v>
      </c>
      <c r="B15" s="108"/>
      <c r="C15" s="108" t="s">
        <v>92</v>
      </c>
      <c r="D15" s="108" t="s">
        <v>117</v>
      </c>
      <c r="E15" s="108" t="s">
        <v>4</v>
      </c>
      <c r="F15" s="107">
        <v>750</v>
      </c>
      <c r="G15" s="106">
        <v>1750</v>
      </c>
      <c r="H15" s="106">
        <v>1800</v>
      </c>
      <c r="I15" s="106">
        <v>1750</v>
      </c>
      <c r="J15" s="105">
        <v>45575</v>
      </c>
      <c r="K15" s="105"/>
      <c r="L15" s="105">
        <v>45575</v>
      </c>
      <c r="M15" s="105"/>
    </row>
    <row r="16" spans="1:13" ht="15" x14ac:dyDescent="0.2">
      <c r="A16" s="108" t="s">
        <v>116</v>
      </c>
      <c r="B16" s="108"/>
      <c r="C16" s="108" t="s">
        <v>98</v>
      </c>
      <c r="D16" s="108" t="s">
        <v>115</v>
      </c>
      <c r="E16" s="108" t="s">
        <v>4</v>
      </c>
      <c r="F16" s="107">
        <v>950</v>
      </c>
      <c r="G16" s="106">
        <v>2050</v>
      </c>
      <c r="H16" s="106">
        <v>2125</v>
      </c>
      <c r="I16" s="106">
        <v>2050</v>
      </c>
      <c r="J16" s="105">
        <v>45212</v>
      </c>
      <c r="K16" s="105">
        <v>46022</v>
      </c>
      <c r="L16" s="105">
        <v>45211</v>
      </c>
      <c r="M16" s="105"/>
    </row>
    <row r="17" spans="1:13" ht="15" x14ac:dyDescent="0.2">
      <c r="A17" s="108" t="s">
        <v>114</v>
      </c>
      <c r="B17" s="108"/>
      <c r="C17" s="108" t="s">
        <v>95</v>
      </c>
      <c r="D17" s="108" t="s">
        <v>113</v>
      </c>
      <c r="E17" s="108" t="s">
        <v>4</v>
      </c>
      <c r="F17" s="107">
        <v>960</v>
      </c>
      <c r="G17" s="106">
        <v>2100</v>
      </c>
      <c r="H17" s="106">
        <v>2300</v>
      </c>
      <c r="I17" s="106">
        <v>2300</v>
      </c>
      <c r="J17" s="105">
        <v>45901</v>
      </c>
      <c r="K17" s="105">
        <v>46265</v>
      </c>
      <c r="L17" s="105">
        <v>45899</v>
      </c>
      <c r="M17" s="105"/>
    </row>
    <row r="18" spans="1:13" ht="15" x14ac:dyDescent="0.2">
      <c r="A18" s="108" t="s">
        <v>112</v>
      </c>
      <c r="B18" s="108"/>
      <c r="C18" s="108" t="s">
        <v>92</v>
      </c>
      <c r="D18" s="108" t="s">
        <v>111</v>
      </c>
      <c r="E18" s="108" t="s">
        <v>4</v>
      </c>
      <c r="F18" s="107">
        <v>850</v>
      </c>
      <c r="G18" s="106">
        <v>1850</v>
      </c>
      <c r="H18" s="106">
        <v>2000</v>
      </c>
      <c r="I18" s="106">
        <v>925</v>
      </c>
      <c r="J18" s="105">
        <v>43617</v>
      </c>
      <c r="K18" s="105">
        <v>46265</v>
      </c>
      <c r="L18" s="105">
        <v>43617</v>
      </c>
      <c r="M18" s="105"/>
    </row>
    <row r="19" spans="1:13" ht="15" x14ac:dyDescent="0.2">
      <c r="A19" s="108" t="s">
        <v>110</v>
      </c>
      <c r="B19" s="108"/>
      <c r="C19" s="108" t="s">
        <v>98</v>
      </c>
      <c r="D19" s="108" t="s">
        <v>109</v>
      </c>
      <c r="E19" s="108" t="s">
        <v>4</v>
      </c>
      <c r="F19" s="107">
        <v>900</v>
      </c>
      <c r="G19" s="106">
        <v>2200</v>
      </c>
      <c r="H19" s="106">
        <v>2225</v>
      </c>
      <c r="I19" s="106">
        <v>2200</v>
      </c>
      <c r="J19" s="105">
        <v>44713</v>
      </c>
      <c r="K19" s="105">
        <v>45869</v>
      </c>
      <c r="L19" s="105">
        <v>44713</v>
      </c>
      <c r="M19" s="105"/>
    </row>
    <row r="20" spans="1:13" ht="15" x14ac:dyDescent="0.2">
      <c r="A20" s="108" t="s">
        <v>108</v>
      </c>
      <c r="B20" s="108"/>
      <c r="C20" s="108" t="s">
        <v>107</v>
      </c>
      <c r="D20" s="108" t="s">
        <v>106</v>
      </c>
      <c r="E20" s="108" t="s">
        <v>4</v>
      </c>
      <c r="F20" s="107">
        <v>1150</v>
      </c>
      <c r="G20" s="106">
        <v>2400</v>
      </c>
      <c r="H20" s="106">
        <v>2400</v>
      </c>
      <c r="I20" s="106">
        <v>2400</v>
      </c>
      <c r="J20" s="105">
        <v>45527</v>
      </c>
      <c r="K20" s="105">
        <v>45900</v>
      </c>
      <c r="L20" s="105">
        <v>45527</v>
      </c>
      <c r="M20" s="105"/>
    </row>
    <row r="21" spans="1:13" ht="15" x14ac:dyDescent="0.2">
      <c r="A21" s="108" t="s">
        <v>105</v>
      </c>
      <c r="B21" s="108"/>
      <c r="C21" s="108" t="s">
        <v>92</v>
      </c>
      <c r="D21" s="108" t="s">
        <v>104</v>
      </c>
      <c r="E21" s="108" t="s">
        <v>4</v>
      </c>
      <c r="F21" s="107">
        <v>750</v>
      </c>
      <c r="G21" s="106">
        <v>1950</v>
      </c>
      <c r="H21" s="106">
        <v>2050</v>
      </c>
      <c r="I21" s="106">
        <v>500</v>
      </c>
      <c r="J21" s="105">
        <v>45901</v>
      </c>
      <c r="K21" s="105">
        <v>46265</v>
      </c>
      <c r="L21" s="105">
        <v>44743</v>
      </c>
      <c r="M21" s="105"/>
    </row>
    <row r="22" spans="1:13" ht="15" x14ac:dyDescent="0.2">
      <c r="A22" s="108" t="s">
        <v>103</v>
      </c>
      <c r="B22" s="108"/>
      <c r="C22" s="108" t="s">
        <v>95</v>
      </c>
      <c r="D22" s="108" t="s">
        <v>102</v>
      </c>
      <c r="E22" s="108" t="s">
        <v>4</v>
      </c>
      <c r="F22" s="107">
        <v>1200</v>
      </c>
      <c r="G22" s="106">
        <v>2350</v>
      </c>
      <c r="H22" s="106">
        <v>2350</v>
      </c>
      <c r="I22" s="106">
        <v>2350</v>
      </c>
      <c r="J22" s="105">
        <v>46058</v>
      </c>
      <c r="K22" s="105">
        <v>46446</v>
      </c>
      <c r="L22" s="105">
        <v>46058</v>
      </c>
      <c r="M22" s="105"/>
    </row>
    <row r="23" spans="1:13" ht="15" x14ac:dyDescent="0.2">
      <c r="A23" s="108" t="s">
        <v>101</v>
      </c>
      <c r="B23" s="108"/>
      <c r="C23" s="108" t="s">
        <v>92</v>
      </c>
      <c r="D23" s="108" t="s">
        <v>100</v>
      </c>
      <c r="E23" s="108" t="s">
        <v>4</v>
      </c>
      <c r="F23" s="107">
        <v>750</v>
      </c>
      <c r="G23" s="106">
        <v>1750</v>
      </c>
      <c r="H23" s="106">
        <v>1900</v>
      </c>
      <c r="I23" s="106">
        <v>1700</v>
      </c>
      <c r="J23" s="105">
        <v>43435</v>
      </c>
      <c r="K23" s="105">
        <v>46265</v>
      </c>
      <c r="L23" s="105">
        <v>43435</v>
      </c>
      <c r="M23" s="105"/>
    </row>
    <row r="24" spans="1:13" ht="15" x14ac:dyDescent="0.2">
      <c r="A24" s="108" t="s">
        <v>99</v>
      </c>
      <c r="B24" s="108"/>
      <c r="C24" s="108" t="s">
        <v>98</v>
      </c>
      <c r="D24" s="108" t="s">
        <v>97</v>
      </c>
      <c r="E24" s="108" t="s">
        <v>4</v>
      </c>
      <c r="F24" s="107">
        <v>900</v>
      </c>
      <c r="G24" s="106">
        <v>2050</v>
      </c>
      <c r="H24" s="106">
        <v>2225</v>
      </c>
      <c r="I24" s="106">
        <v>2200</v>
      </c>
      <c r="J24" s="105">
        <v>45839</v>
      </c>
      <c r="K24" s="105">
        <v>46203</v>
      </c>
      <c r="L24" s="105">
        <v>45839</v>
      </c>
      <c r="M24" s="105"/>
    </row>
    <row r="25" spans="1:13" ht="15" x14ac:dyDescent="0.2">
      <c r="A25" s="108" t="s">
        <v>96</v>
      </c>
      <c r="B25" s="108"/>
      <c r="C25" s="108" t="s">
        <v>95</v>
      </c>
      <c r="D25" s="108" t="s">
        <v>94</v>
      </c>
      <c r="E25" s="108" t="s">
        <v>4</v>
      </c>
      <c r="F25" s="107">
        <v>960</v>
      </c>
      <c r="G25" s="106">
        <v>2100</v>
      </c>
      <c r="H25" s="106">
        <v>2300</v>
      </c>
      <c r="I25" s="106">
        <v>1100</v>
      </c>
      <c r="J25" s="105">
        <v>44256</v>
      </c>
      <c r="K25" s="105">
        <v>46265</v>
      </c>
      <c r="L25" s="105">
        <v>44256</v>
      </c>
      <c r="M25" s="105"/>
    </row>
    <row r="26" spans="1:13" ht="15" x14ac:dyDescent="0.2">
      <c r="A26" s="108" t="s">
        <v>93</v>
      </c>
      <c r="B26" s="108"/>
      <c r="C26" s="108" t="s">
        <v>92</v>
      </c>
      <c r="D26" s="108" t="s">
        <v>91</v>
      </c>
      <c r="E26" s="108" t="s">
        <v>4</v>
      </c>
      <c r="F26" s="107">
        <v>850</v>
      </c>
      <c r="G26" s="106">
        <v>1850</v>
      </c>
      <c r="H26" s="106">
        <v>2000</v>
      </c>
      <c r="I26" s="106">
        <v>925</v>
      </c>
      <c r="J26" s="105">
        <v>43586</v>
      </c>
      <c r="K26" s="105">
        <v>46265</v>
      </c>
      <c r="L26" s="105">
        <v>43586</v>
      </c>
      <c r="M26" s="105"/>
    </row>
    <row r="27" spans="1:13" ht="15.75" x14ac:dyDescent="0.25">
      <c r="A27" s="104" t="s">
        <v>90</v>
      </c>
      <c r="B27" s="104"/>
      <c r="C27" s="104"/>
      <c r="D27" s="104"/>
      <c r="E27" s="104" t="s">
        <v>88</v>
      </c>
      <c r="F27" s="103">
        <v>14620</v>
      </c>
      <c r="G27" s="102">
        <v>30100</v>
      </c>
      <c r="H27" s="102">
        <v>34175</v>
      </c>
      <c r="I27" s="102">
        <v>30100</v>
      </c>
      <c r="J27" s="101"/>
      <c r="K27" s="101"/>
      <c r="L27" s="101"/>
      <c r="M27" s="101"/>
    </row>
    <row r="29" spans="1:13" ht="15.75" x14ac:dyDescent="0.25">
      <c r="A29" s="104" t="s">
        <v>89</v>
      </c>
      <c r="B29" s="104"/>
      <c r="C29" s="104"/>
      <c r="D29" s="104"/>
      <c r="E29" s="104" t="s">
        <v>88</v>
      </c>
      <c r="F29" s="103">
        <v>14620</v>
      </c>
      <c r="G29" s="102">
        <v>30100</v>
      </c>
      <c r="H29" s="102">
        <v>34175</v>
      </c>
      <c r="I29" s="102">
        <v>30100</v>
      </c>
      <c r="J29" s="101"/>
      <c r="K29" s="101"/>
      <c r="L29" s="101"/>
      <c r="M29" s="101"/>
    </row>
    <row r="36" spans="1:13" ht="15" x14ac:dyDescent="0.2">
      <c r="A36" s="108" t="s">
        <v>125</v>
      </c>
      <c r="B36" s="108"/>
      <c r="C36" s="108" t="s">
        <v>124</v>
      </c>
      <c r="D36" s="108" t="s">
        <v>123</v>
      </c>
      <c r="E36" s="108" t="s">
        <v>4</v>
      </c>
      <c r="F36" s="107">
        <v>1500</v>
      </c>
      <c r="G36" s="106"/>
      <c r="H36" s="106">
        <v>2600</v>
      </c>
      <c r="I36" s="106">
        <v>5000</v>
      </c>
      <c r="J36" s="105">
        <v>45641</v>
      </c>
      <c r="K36" s="105">
        <v>46752</v>
      </c>
      <c r="L36" s="105">
        <v>45641</v>
      </c>
      <c r="M36" s="105"/>
    </row>
  </sheetData>
  <mergeCells count="10">
    <mergeCell ref="A6:M6"/>
    <mergeCell ref="A7:M7"/>
    <mergeCell ref="A8:M8"/>
    <mergeCell ref="A9:M9"/>
    <mergeCell ref="A11:M11"/>
    <mergeCell ref="A1:M1"/>
    <mergeCell ref="A2:M2"/>
    <mergeCell ref="A3:M3"/>
    <mergeCell ref="A4:M4"/>
    <mergeCell ref="A5: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592A-1C27-4925-B522-6F47A0ECD4BA}">
  <dimension ref="A1:N54"/>
  <sheetViews>
    <sheetView showGridLines="0" zoomScaleNormal="100" workbookViewId="0">
      <pane xSplit="1" ySplit="5" topLeftCell="B30" activePane="bottomRight" state="frozen"/>
      <selection pane="topRight" activeCell="B1" sqref="B1"/>
      <selection pane="bottomLeft" activeCell="A6" sqref="A6"/>
      <selection pane="bottomRight"/>
    </sheetView>
  </sheetViews>
  <sheetFormatPr defaultColWidth="8.5703125" defaultRowHeight="15" x14ac:dyDescent="0.25"/>
  <cols>
    <col min="1" max="1" width="36" style="127" customWidth="1"/>
    <col min="2" max="14" width="12.42578125" style="127" customWidth="1"/>
    <col min="15" max="16384" width="8.5703125" style="127"/>
  </cols>
  <sheetData>
    <row r="1" spans="1:14" ht="18" x14ac:dyDescent="0.25">
      <c r="A1" s="143" t="s">
        <v>208</v>
      </c>
    </row>
    <row r="2" spans="1:14" x14ac:dyDescent="0.25">
      <c r="A2" s="142" t="s">
        <v>207</v>
      </c>
    </row>
    <row r="3" spans="1:14" x14ac:dyDescent="0.25">
      <c r="A3" s="141" t="s">
        <v>206</v>
      </c>
    </row>
    <row r="5" spans="1:14" x14ac:dyDescent="0.25">
      <c r="A5" s="140" t="s">
        <v>205</v>
      </c>
      <c r="B5" s="139" t="s">
        <v>204</v>
      </c>
      <c r="C5" s="139" t="s">
        <v>203</v>
      </c>
      <c r="D5" s="139" t="s">
        <v>202</v>
      </c>
      <c r="E5" s="139" t="s">
        <v>201</v>
      </c>
      <c r="F5" s="139" t="s">
        <v>200</v>
      </c>
      <c r="G5" s="139" t="s">
        <v>199</v>
      </c>
      <c r="H5" s="139" t="s">
        <v>198</v>
      </c>
      <c r="I5" s="139" t="s">
        <v>197</v>
      </c>
      <c r="J5" s="139" t="s">
        <v>196</v>
      </c>
      <c r="K5" s="139" t="s">
        <v>195</v>
      </c>
      <c r="L5" s="139" t="s">
        <v>194</v>
      </c>
      <c r="M5" s="139" t="s">
        <v>193</v>
      </c>
      <c r="N5" s="139" t="s">
        <v>192</v>
      </c>
    </row>
    <row r="6" spans="1:14" x14ac:dyDescent="0.25">
      <c r="A6" s="138" t="s">
        <v>191</v>
      </c>
    </row>
    <row r="7" spans="1:14" x14ac:dyDescent="0.25">
      <c r="A7" s="131" t="s">
        <v>190</v>
      </c>
      <c r="B7" s="130">
        <v>27125</v>
      </c>
      <c r="C7" s="130">
        <v>35236</v>
      </c>
      <c r="D7" s="130">
        <v>35616.980000000003</v>
      </c>
      <c r="E7" s="130">
        <v>30142</v>
      </c>
      <c r="F7" s="130">
        <v>29050</v>
      </c>
      <c r="G7" s="130">
        <v>32808</v>
      </c>
      <c r="H7" s="130">
        <v>28860</v>
      </c>
      <c r="I7" s="130">
        <v>31990</v>
      </c>
      <c r="J7" s="130">
        <v>33920</v>
      </c>
      <c r="K7" s="130">
        <v>36175</v>
      </c>
      <c r="L7" s="130">
        <v>30100</v>
      </c>
      <c r="M7" s="130">
        <v>26975</v>
      </c>
      <c r="N7" s="132">
        <f t="shared" ref="N7:N14" si="0">SUM(B7:M7)</f>
        <v>377997.98</v>
      </c>
    </row>
    <row r="8" spans="1:14" x14ac:dyDescent="0.25">
      <c r="A8" s="131" t="s">
        <v>189</v>
      </c>
      <c r="B8" s="130">
        <v>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0</v>
      </c>
      <c r="I8" s="130">
        <v>0</v>
      </c>
      <c r="J8" s="130">
        <v>0</v>
      </c>
      <c r="K8" s="130">
        <v>2450</v>
      </c>
      <c r="L8" s="130">
        <v>1212.5</v>
      </c>
      <c r="M8" s="130">
        <v>-8975</v>
      </c>
      <c r="N8" s="132">
        <f t="shared" si="0"/>
        <v>-5312.5</v>
      </c>
    </row>
    <row r="9" spans="1:14" x14ac:dyDescent="0.25">
      <c r="A9" s="131" t="s">
        <v>188</v>
      </c>
      <c r="B9" s="130">
        <v>50</v>
      </c>
      <c r="C9" s="130">
        <v>50</v>
      </c>
      <c r="D9" s="130">
        <v>50</v>
      </c>
      <c r="E9" s="130">
        <v>0</v>
      </c>
      <c r="F9" s="130">
        <v>100</v>
      </c>
      <c r="G9" s="130">
        <v>100</v>
      </c>
      <c r="H9" s="130">
        <v>50</v>
      </c>
      <c r="I9" s="130">
        <v>61.67</v>
      </c>
      <c r="J9" s="130">
        <v>25</v>
      </c>
      <c r="K9" s="130">
        <v>75</v>
      </c>
      <c r="L9" s="130">
        <v>75</v>
      </c>
      <c r="M9" s="130">
        <v>25</v>
      </c>
      <c r="N9" s="132">
        <f t="shared" si="0"/>
        <v>661.67000000000007</v>
      </c>
    </row>
    <row r="10" spans="1:14" x14ac:dyDescent="0.25">
      <c r="A10" s="131" t="s">
        <v>187</v>
      </c>
      <c r="B10" s="130">
        <v>0</v>
      </c>
      <c r="C10" s="130">
        <v>60</v>
      </c>
      <c r="D10" s="130">
        <v>0</v>
      </c>
      <c r="E10" s="130">
        <v>0</v>
      </c>
      <c r="F10" s="130">
        <v>0</v>
      </c>
      <c r="G10" s="130">
        <v>15</v>
      </c>
      <c r="H10" s="130">
        <v>15</v>
      </c>
      <c r="I10" s="130">
        <v>30</v>
      </c>
      <c r="J10" s="130">
        <v>0</v>
      </c>
      <c r="K10" s="130">
        <v>0</v>
      </c>
      <c r="L10" s="130">
        <v>0</v>
      </c>
      <c r="M10" s="130">
        <v>0</v>
      </c>
      <c r="N10" s="132">
        <f t="shared" si="0"/>
        <v>120</v>
      </c>
    </row>
    <row r="11" spans="1:14" x14ac:dyDescent="0.25">
      <c r="A11" s="131" t="s">
        <v>186</v>
      </c>
      <c r="B11" s="130">
        <v>0</v>
      </c>
      <c r="C11" s="130">
        <v>0</v>
      </c>
      <c r="D11" s="130">
        <v>1112.5</v>
      </c>
      <c r="E11" s="130">
        <v>0</v>
      </c>
      <c r="F11" s="130">
        <v>0</v>
      </c>
      <c r="G11" s="130">
        <v>0</v>
      </c>
      <c r="H11" s="130">
        <v>0</v>
      </c>
      <c r="I11" s="130">
        <v>0</v>
      </c>
      <c r="J11" s="130">
        <v>0</v>
      </c>
      <c r="K11" s="130">
        <v>0</v>
      </c>
      <c r="L11" s="130">
        <v>0</v>
      </c>
      <c r="M11" s="130">
        <v>0</v>
      </c>
      <c r="N11" s="132">
        <f t="shared" si="0"/>
        <v>1112.5</v>
      </c>
    </row>
    <row r="12" spans="1:14" x14ac:dyDescent="0.25">
      <c r="A12" s="131" t="s">
        <v>185</v>
      </c>
      <c r="B12" s="130">
        <v>200</v>
      </c>
      <c r="C12" s="130">
        <v>350</v>
      </c>
      <c r="D12" s="130">
        <v>100</v>
      </c>
      <c r="E12" s="130">
        <v>50</v>
      </c>
      <c r="F12" s="130">
        <v>300</v>
      </c>
      <c r="G12" s="130">
        <v>350</v>
      </c>
      <c r="H12" s="130">
        <v>200</v>
      </c>
      <c r="I12" s="130">
        <v>200</v>
      </c>
      <c r="J12" s="130">
        <v>250</v>
      </c>
      <c r="K12" s="130">
        <v>200</v>
      </c>
      <c r="L12" s="130">
        <v>150</v>
      </c>
      <c r="M12" s="130">
        <v>22.5</v>
      </c>
      <c r="N12" s="132">
        <f t="shared" si="0"/>
        <v>2372.5</v>
      </c>
    </row>
    <row r="13" spans="1:14" x14ac:dyDescent="0.25">
      <c r="A13" s="131" t="s">
        <v>184</v>
      </c>
      <c r="B13" s="130">
        <v>0</v>
      </c>
      <c r="C13" s="130">
        <v>0</v>
      </c>
      <c r="D13" s="130">
        <v>0</v>
      </c>
      <c r="E13" s="130">
        <v>0</v>
      </c>
      <c r="F13" s="130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50</v>
      </c>
      <c r="L13" s="130">
        <v>50</v>
      </c>
      <c r="M13" s="130">
        <v>50</v>
      </c>
      <c r="N13" s="132">
        <f t="shared" si="0"/>
        <v>150</v>
      </c>
    </row>
    <row r="14" spans="1:14" x14ac:dyDescent="0.25">
      <c r="A14" s="137" t="s">
        <v>183</v>
      </c>
      <c r="B14" s="136">
        <f t="shared" ref="B14:M14" si="1">SUM(B7:B13)</f>
        <v>27375</v>
      </c>
      <c r="C14" s="136">
        <f t="shared" si="1"/>
        <v>35696</v>
      </c>
      <c r="D14" s="136">
        <f t="shared" si="1"/>
        <v>36879.480000000003</v>
      </c>
      <c r="E14" s="136">
        <f t="shared" si="1"/>
        <v>30192</v>
      </c>
      <c r="F14" s="136">
        <f t="shared" si="1"/>
        <v>29450</v>
      </c>
      <c r="G14" s="136">
        <f t="shared" si="1"/>
        <v>33273</v>
      </c>
      <c r="H14" s="136">
        <f t="shared" si="1"/>
        <v>29125</v>
      </c>
      <c r="I14" s="136">
        <f t="shared" si="1"/>
        <v>32281.67</v>
      </c>
      <c r="J14" s="136">
        <f t="shared" si="1"/>
        <v>34195</v>
      </c>
      <c r="K14" s="136">
        <f t="shared" si="1"/>
        <v>38950</v>
      </c>
      <c r="L14" s="136">
        <f t="shared" si="1"/>
        <v>31587.5</v>
      </c>
      <c r="M14" s="136">
        <f t="shared" si="1"/>
        <v>18097.5</v>
      </c>
      <c r="N14" s="136">
        <f t="shared" si="0"/>
        <v>377102.15</v>
      </c>
    </row>
    <row r="16" spans="1:14" x14ac:dyDescent="0.25">
      <c r="A16" s="138" t="s">
        <v>182</v>
      </c>
    </row>
    <row r="17" spans="1:14" x14ac:dyDescent="0.25">
      <c r="A17" s="131" t="s">
        <v>165</v>
      </c>
      <c r="B17" s="130">
        <v>262.87</v>
      </c>
      <c r="C17" s="130">
        <v>277.16000000000003</v>
      </c>
      <c r="D17" s="130">
        <v>312.39999999999998</v>
      </c>
      <c r="E17" s="130">
        <v>318.27999999999997</v>
      </c>
      <c r="F17" s="130">
        <v>283.17</v>
      </c>
      <c r="G17" s="130">
        <v>276.58</v>
      </c>
      <c r="H17" s="130">
        <v>294.32</v>
      </c>
      <c r="I17" s="130">
        <v>291.58999999999997</v>
      </c>
      <c r="J17" s="130">
        <v>285.27999999999997</v>
      </c>
      <c r="K17" s="130">
        <v>195.55</v>
      </c>
      <c r="L17" s="130">
        <v>0</v>
      </c>
      <c r="M17" s="130">
        <v>0</v>
      </c>
      <c r="N17" s="132">
        <f t="shared" ref="N17:N44" si="2">SUM(B17:M17)</f>
        <v>2797.2</v>
      </c>
    </row>
    <row r="18" spans="1:14" x14ac:dyDescent="0.25">
      <c r="A18" s="131" t="s">
        <v>164</v>
      </c>
      <c r="B18" s="130">
        <v>128.24</v>
      </c>
      <c r="C18" s="130">
        <v>128.24</v>
      </c>
      <c r="D18" s="130">
        <v>128.24</v>
      </c>
      <c r="E18" s="130">
        <v>128.27000000000001</v>
      </c>
      <c r="F18" s="130">
        <v>136.29</v>
      </c>
      <c r="G18" s="130">
        <v>115.15</v>
      </c>
      <c r="H18" s="130">
        <v>128.27000000000001</v>
      </c>
      <c r="I18" s="130">
        <v>128.27000000000001</v>
      </c>
      <c r="J18" s="130">
        <v>128.27000000000001</v>
      </c>
      <c r="K18" s="130">
        <v>0</v>
      </c>
      <c r="L18" s="130">
        <v>0</v>
      </c>
      <c r="M18" s="130">
        <v>0</v>
      </c>
      <c r="N18" s="132">
        <f t="shared" si="2"/>
        <v>1149.24</v>
      </c>
    </row>
    <row r="19" spans="1:14" x14ac:dyDescent="0.25">
      <c r="A19" s="131" t="s">
        <v>158</v>
      </c>
      <c r="B19" s="130">
        <v>0</v>
      </c>
      <c r="C19" s="130">
        <v>0</v>
      </c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0">
        <v>165.56</v>
      </c>
      <c r="J19" s="130">
        <v>0</v>
      </c>
      <c r="K19" s="130">
        <v>0</v>
      </c>
      <c r="L19" s="130">
        <v>0</v>
      </c>
      <c r="M19" s="130">
        <v>0</v>
      </c>
      <c r="N19" s="132">
        <f t="shared" si="2"/>
        <v>165.56</v>
      </c>
    </row>
    <row r="20" spans="1:14" x14ac:dyDescent="0.25">
      <c r="A20" s="131" t="s">
        <v>157</v>
      </c>
      <c r="B20" s="130">
        <v>0</v>
      </c>
      <c r="C20" s="130">
        <v>0</v>
      </c>
      <c r="D20" s="130">
        <v>0</v>
      </c>
      <c r="E20" s="130">
        <v>0</v>
      </c>
      <c r="F20" s="130">
        <v>0</v>
      </c>
      <c r="G20" s="130">
        <v>0</v>
      </c>
      <c r="H20" s="130">
        <v>0</v>
      </c>
      <c r="I20" s="130">
        <v>0</v>
      </c>
      <c r="J20" s="130">
        <v>0</v>
      </c>
      <c r="K20" s="130">
        <v>0</v>
      </c>
      <c r="L20" s="130">
        <v>148.4</v>
      </c>
      <c r="M20" s="130">
        <v>0</v>
      </c>
      <c r="N20" s="132">
        <f t="shared" si="2"/>
        <v>148.4</v>
      </c>
    </row>
    <row r="21" spans="1:14" x14ac:dyDescent="0.25">
      <c r="A21" s="131" t="s">
        <v>156</v>
      </c>
      <c r="B21" s="130">
        <v>0</v>
      </c>
      <c r="C21" s="130">
        <v>26.23</v>
      </c>
      <c r="D21" s="130">
        <v>0</v>
      </c>
      <c r="E21" s="130">
        <v>0</v>
      </c>
      <c r="F21" s="130">
        <v>29.26</v>
      </c>
      <c r="G21" s="130">
        <v>0</v>
      </c>
      <c r="H21" s="130">
        <v>0</v>
      </c>
      <c r="I21" s="130">
        <v>0</v>
      </c>
      <c r="J21" s="130">
        <v>0</v>
      </c>
      <c r="K21" s="130">
        <v>0</v>
      </c>
      <c r="L21" s="130">
        <v>0</v>
      </c>
      <c r="M21" s="130">
        <v>0</v>
      </c>
      <c r="N21" s="132">
        <f t="shared" si="2"/>
        <v>55.49</v>
      </c>
    </row>
    <row r="22" spans="1:14" x14ac:dyDescent="0.25">
      <c r="A22" s="131" t="s">
        <v>155</v>
      </c>
      <c r="B22" s="130">
        <v>0</v>
      </c>
      <c r="C22" s="130">
        <v>0</v>
      </c>
      <c r="D22" s="130">
        <v>0</v>
      </c>
      <c r="E22" s="130">
        <v>0</v>
      </c>
      <c r="F22" s="130">
        <v>0</v>
      </c>
      <c r="G22" s="130">
        <v>0</v>
      </c>
      <c r="H22" s="130">
        <v>0</v>
      </c>
      <c r="I22" s="130">
        <v>0</v>
      </c>
      <c r="J22" s="130">
        <v>80</v>
      </c>
      <c r="K22" s="130">
        <v>0</v>
      </c>
      <c r="L22" s="130">
        <v>0</v>
      </c>
      <c r="M22" s="130">
        <v>0</v>
      </c>
      <c r="N22" s="132">
        <f t="shared" si="2"/>
        <v>80</v>
      </c>
    </row>
    <row r="23" spans="1:14" x14ac:dyDescent="0.25">
      <c r="A23" s="131" t="s">
        <v>170</v>
      </c>
      <c r="B23" s="130">
        <v>50.95</v>
      </c>
      <c r="C23" s="130">
        <v>47.67</v>
      </c>
      <c r="D23" s="130">
        <v>262.01</v>
      </c>
      <c r="E23" s="130">
        <v>49.12</v>
      </c>
      <c r="F23" s="130">
        <v>52.5</v>
      </c>
      <c r="G23" s="130">
        <v>52.5</v>
      </c>
      <c r="H23" s="130">
        <v>396.22</v>
      </c>
      <c r="I23" s="130">
        <v>50.88</v>
      </c>
      <c r="J23" s="130">
        <v>0</v>
      </c>
      <c r="K23" s="130">
        <v>0</v>
      </c>
      <c r="L23" s="130">
        <v>1403.82</v>
      </c>
      <c r="M23" s="130">
        <v>0</v>
      </c>
      <c r="N23" s="132">
        <f t="shared" si="2"/>
        <v>2365.67</v>
      </c>
    </row>
    <row r="24" spans="1:14" x14ac:dyDescent="0.25">
      <c r="A24" s="131" t="s">
        <v>169</v>
      </c>
      <c r="B24" s="130">
        <v>542.94000000000005</v>
      </c>
      <c r="C24" s="130">
        <v>519.87</v>
      </c>
      <c r="D24" s="130">
        <v>553.77</v>
      </c>
      <c r="E24" s="130">
        <v>430.79</v>
      </c>
      <c r="F24" s="130">
        <v>423.69</v>
      </c>
      <c r="G24" s="130">
        <v>509.47</v>
      </c>
      <c r="H24" s="130">
        <v>755.62</v>
      </c>
      <c r="I24" s="130">
        <v>910.08</v>
      </c>
      <c r="J24" s="130">
        <v>1030.3499999999999</v>
      </c>
      <c r="K24" s="130">
        <v>0</v>
      </c>
      <c r="L24" s="130">
        <v>1252.07</v>
      </c>
      <c r="M24" s="130">
        <v>0</v>
      </c>
      <c r="N24" s="132">
        <f t="shared" si="2"/>
        <v>6928.65</v>
      </c>
    </row>
    <row r="25" spans="1:14" x14ac:dyDescent="0.25">
      <c r="A25" s="131" t="s">
        <v>171</v>
      </c>
      <c r="B25" s="130">
        <v>720</v>
      </c>
      <c r="C25" s="130">
        <v>0</v>
      </c>
      <c r="D25" s="130">
        <v>0</v>
      </c>
      <c r="E25" s="130">
        <v>240</v>
      </c>
      <c r="F25" s="130">
        <v>0</v>
      </c>
      <c r="G25" s="130">
        <v>0</v>
      </c>
      <c r="H25" s="130">
        <v>0</v>
      </c>
      <c r="I25" s="130">
        <v>0</v>
      </c>
      <c r="J25" s="130">
        <v>0</v>
      </c>
      <c r="K25" s="130">
        <v>0</v>
      </c>
      <c r="L25" s="130">
        <v>647.14</v>
      </c>
      <c r="M25" s="130">
        <v>0</v>
      </c>
      <c r="N25" s="132">
        <f t="shared" si="2"/>
        <v>1607.1399999999999</v>
      </c>
    </row>
    <row r="26" spans="1:14" x14ac:dyDescent="0.25">
      <c r="A26" s="131" t="s">
        <v>173</v>
      </c>
      <c r="B26" s="130">
        <v>270</v>
      </c>
      <c r="C26" s="130">
        <v>270</v>
      </c>
      <c r="D26" s="130">
        <v>0</v>
      </c>
      <c r="E26" s="130">
        <v>270</v>
      </c>
      <c r="F26" s="130">
        <v>0</v>
      </c>
      <c r="G26" s="130">
        <v>180</v>
      </c>
      <c r="H26" s="130">
        <v>0</v>
      </c>
      <c r="I26" s="130">
        <v>0</v>
      </c>
      <c r="J26" s="130">
        <v>0</v>
      </c>
      <c r="K26" s="130">
        <v>138.26</v>
      </c>
      <c r="L26" s="130">
        <v>120</v>
      </c>
      <c r="M26" s="130">
        <v>0</v>
      </c>
      <c r="N26" s="132">
        <f t="shared" si="2"/>
        <v>1248.26</v>
      </c>
    </row>
    <row r="27" spans="1:14" x14ac:dyDescent="0.25">
      <c r="A27" s="131" t="s">
        <v>172</v>
      </c>
      <c r="B27" s="130">
        <v>0</v>
      </c>
      <c r="C27" s="130">
        <v>0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30">
        <v>380</v>
      </c>
      <c r="J27" s="130">
        <v>380</v>
      </c>
      <c r="K27" s="130">
        <v>0</v>
      </c>
      <c r="L27" s="130">
        <v>0</v>
      </c>
      <c r="M27" s="130">
        <v>0</v>
      </c>
      <c r="N27" s="132">
        <f t="shared" si="2"/>
        <v>760</v>
      </c>
    </row>
    <row r="28" spans="1:14" x14ac:dyDescent="0.25">
      <c r="A28" s="131" t="s">
        <v>161</v>
      </c>
      <c r="B28" s="130">
        <v>1650</v>
      </c>
      <c r="C28" s="130">
        <v>0</v>
      </c>
      <c r="D28" s="130">
        <v>1725</v>
      </c>
      <c r="E28" s="130">
        <v>0</v>
      </c>
      <c r="F28" s="130">
        <v>0</v>
      </c>
      <c r="G28" s="130">
        <v>0</v>
      </c>
      <c r="H28" s="130">
        <v>0</v>
      </c>
      <c r="I28" s="130">
        <v>3712.5</v>
      </c>
      <c r="J28" s="130">
        <v>0</v>
      </c>
      <c r="K28" s="130">
        <v>0</v>
      </c>
      <c r="L28" s="130">
        <v>0</v>
      </c>
      <c r="M28" s="130">
        <v>0</v>
      </c>
      <c r="N28" s="132">
        <f t="shared" si="2"/>
        <v>7087.5</v>
      </c>
    </row>
    <row r="29" spans="1:14" x14ac:dyDescent="0.25">
      <c r="A29" s="131" t="s">
        <v>163</v>
      </c>
      <c r="B29" s="130">
        <v>1368.75</v>
      </c>
      <c r="C29" s="130">
        <v>1784.8</v>
      </c>
      <c r="D29" s="130">
        <v>1843.97</v>
      </c>
      <c r="E29" s="130">
        <v>1509.6</v>
      </c>
      <c r="F29" s="130">
        <v>1472.5</v>
      </c>
      <c r="G29" s="130">
        <v>1663.65</v>
      </c>
      <c r="H29" s="130">
        <v>1456.25</v>
      </c>
      <c r="I29" s="130">
        <v>1614.08</v>
      </c>
      <c r="J29" s="130">
        <v>0</v>
      </c>
      <c r="K29" s="130">
        <v>0</v>
      </c>
      <c r="L29" s="130">
        <v>2337</v>
      </c>
      <c r="M29" s="130">
        <v>0</v>
      </c>
      <c r="N29" s="132">
        <f t="shared" si="2"/>
        <v>15050.6</v>
      </c>
    </row>
    <row r="30" spans="1:14" x14ac:dyDescent="0.25">
      <c r="A30" s="131" t="s">
        <v>162</v>
      </c>
      <c r="B30" s="130">
        <v>2250</v>
      </c>
      <c r="C30" s="130">
        <v>0</v>
      </c>
      <c r="D30" s="130">
        <v>0</v>
      </c>
      <c r="E30" s="130">
        <v>2250</v>
      </c>
      <c r="F30" s="130">
        <v>0</v>
      </c>
      <c r="G30" s="130">
        <v>0</v>
      </c>
      <c r="H30" s="130">
        <v>2250</v>
      </c>
      <c r="I30" s="130">
        <v>0</v>
      </c>
      <c r="J30" s="130">
        <v>0</v>
      </c>
      <c r="K30" s="130">
        <v>0</v>
      </c>
      <c r="L30" s="130">
        <v>0</v>
      </c>
      <c r="M30" s="130">
        <v>0</v>
      </c>
      <c r="N30" s="132">
        <f t="shared" si="2"/>
        <v>6750</v>
      </c>
    </row>
    <row r="31" spans="1:14" x14ac:dyDescent="0.25">
      <c r="A31" s="131" t="s">
        <v>176</v>
      </c>
      <c r="B31" s="130">
        <v>900</v>
      </c>
      <c r="C31" s="130">
        <v>900</v>
      </c>
      <c r="D31" s="130">
        <v>900</v>
      </c>
      <c r="E31" s="130">
        <v>900</v>
      </c>
      <c r="F31" s="130">
        <v>900</v>
      </c>
      <c r="G31" s="130">
        <v>900</v>
      </c>
      <c r="H31" s="130">
        <v>900</v>
      </c>
      <c r="I31" s="130">
        <v>900</v>
      </c>
      <c r="J31" s="130">
        <v>900</v>
      </c>
      <c r="K31" s="130">
        <v>900</v>
      </c>
      <c r="L31" s="130">
        <v>900</v>
      </c>
      <c r="M31" s="130">
        <v>0</v>
      </c>
      <c r="N31" s="132">
        <f t="shared" si="2"/>
        <v>9900</v>
      </c>
    </row>
    <row r="32" spans="1:14" x14ac:dyDescent="0.25">
      <c r="A32" s="131" t="s">
        <v>160</v>
      </c>
      <c r="B32" s="130">
        <v>118.5</v>
      </c>
      <c r="C32" s="130">
        <v>0</v>
      </c>
      <c r="D32" s="130">
        <v>0</v>
      </c>
      <c r="E32" s="130">
        <v>0</v>
      </c>
      <c r="F32" s="130">
        <v>0</v>
      </c>
      <c r="G32" s="130">
        <v>0</v>
      </c>
      <c r="H32" s="130">
        <v>0</v>
      </c>
      <c r="I32" s="130">
        <v>0</v>
      </c>
      <c r="J32" s="130">
        <v>0</v>
      </c>
      <c r="K32" s="130">
        <v>0</v>
      </c>
      <c r="L32" s="130">
        <v>0</v>
      </c>
      <c r="M32" s="130">
        <v>0</v>
      </c>
      <c r="N32" s="132">
        <f t="shared" si="2"/>
        <v>118.5</v>
      </c>
    </row>
    <row r="33" spans="1:14" x14ac:dyDescent="0.25">
      <c r="A33" s="131" t="s">
        <v>159</v>
      </c>
      <c r="B33" s="130">
        <v>0</v>
      </c>
      <c r="C33" s="130">
        <v>0</v>
      </c>
      <c r="D33" s="130">
        <v>0</v>
      </c>
      <c r="E33" s="130">
        <v>0</v>
      </c>
      <c r="F33" s="130">
        <v>0</v>
      </c>
      <c r="G33" s="130">
        <v>0</v>
      </c>
      <c r="H33" s="130">
        <v>0</v>
      </c>
      <c r="I33" s="130">
        <v>0</v>
      </c>
      <c r="J33" s="130">
        <v>2850</v>
      </c>
      <c r="K33" s="130">
        <v>0</v>
      </c>
      <c r="L33" s="130">
        <v>362.5</v>
      </c>
      <c r="M33" s="130">
        <v>0</v>
      </c>
      <c r="N33" s="132">
        <f t="shared" si="2"/>
        <v>3212.5</v>
      </c>
    </row>
    <row r="34" spans="1:14" x14ac:dyDescent="0.25">
      <c r="A34" s="131" t="s">
        <v>181</v>
      </c>
      <c r="B34" s="130">
        <v>4794.53</v>
      </c>
      <c r="C34" s="130">
        <v>0</v>
      </c>
      <c r="D34" s="130">
        <v>0</v>
      </c>
      <c r="E34" s="130">
        <v>0</v>
      </c>
      <c r="F34" s="130">
        <v>0</v>
      </c>
      <c r="G34" s="130">
        <v>3400</v>
      </c>
      <c r="H34" s="130">
        <v>0</v>
      </c>
      <c r="I34" s="130">
        <v>0</v>
      </c>
      <c r="J34" s="130">
        <v>0</v>
      </c>
      <c r="K34" s="130">
        <v>0</v>
      </c>
      <c r="L34" s="130">
        <v>0</v>
      </c>
      <c r="M34" s="130">
        <v>0</v>
      </c>
      <c r="N34" s="132">
        <f t="shared" si="2"/>
        <v>8194.5299999999988</v>
      </c>
    </row>
    <row r="35" spans="1:14" x14ac:dyDescent="0.25">
      <c r="A35" s="131" t="s">
        <v>180</v>
      </c>
      <c r="B35" s="130">
        <v>0</v>
      </c>
      <c r="C35" s="130">
        <v>766</v>
      </c>
      <c r="D35" s="130">
        <v>0</v>
      </c>
      <c r="E35" s="130">
        <v>0</v>
      </c>
      <c r="F35" s="130">
        <v>0</v>
      </c>
      <c r="G35" s="130">
        <v>0</v>
      </c>
      <c r="H35" s="130">
        <v>951.83</v>
      </c>
      <c r="I35" s="130">
        <v>0</v>
      </c>
      <c r="J35" s="130">
        <v>0</v>
      </c>
      <c r="K35" s="130">
        <v>0</v>
      </c>
      <c r="L35" s="130">
        <v>0</v>
      </c>
      <c r="M35" s="130">
        <v>0</v>
      </c>
      <c r="N35" s="132">
        <f t="shared" si="2"/>
        <v>1717.83</v>
      </c>
    </row>
    <row r="36" spans="1:14" x14ac:dyDescent="0.25">
      <c r="A36" s="131" t="s">
        <v>179</v>
      </c>
      <c r="B36" s="130">
        <v>0</v>
      </c>
      <c r="C36" s="130">
        <v>0</v>
      </c>
      <c r="D36" s="130">
        <v>0</v>
      </c>
      <c r="E36" s="130">
        <v>0</v>
      </c>
      <c r="F36" s="130">
        <v>127.62</v>
      </c>
      <c r="G36" s="130">
        <v>0</v>
      </c>
      <c r="H36" s="130">
        <v>0</v>
      </c>
      <c r="I36" s="130">
        <v>0</v>
      </c>
      <c r="J36" s="130">
        <v>1159.22</v>
      </c>
      <c r="K36" s="130">
        <v>0</v>
      </c>
      <c r="L36" s="130">
        <v>0</v>
      </c>
      <c r="M36" s="130">
        <v>0</v>
      </c>
      <c r="N36" s="132">
        <f t="shared" si="2"/>
        <v>1286.8400000000001</v>
      </c>
    </row>
    <row r="37" spans="1:14" x14ac:dyDescent="0.25">
      <c r="A37" s="131" t="s">
        <v>178</v>
      </c>
      <c r="B37" s="130">
        <v>0</v>
      </c>
      <c r="C37" s="130">
        <v>247.8</v>
      </c>
      <c r="D37" s="130">
        <v>0</v>
      </c>
      <c r="E37" s="130">
        <v>0</v>
      </c>
      <c r="F37" s="130">
        <v>0</v>
      </c>
      <c r="G37" s="130">
        <v>0</v>
      </c>
      <c r="H37" s="130">
        <v>0</v>
      </c>
      <c r="I37" s="130">
        <v>0</v>
      </c>
      <c r="J37" s="130">
        <v>0</v>
      </c>
      <c r="K37" s="130">
        <v>0</v>
      </c>
      <c r="L37" s="130">
        <v>0</v>
      </c>
      <c r="M37" s="130">
        <v>0</v>
      </c>
      <c r="N37" s="132">
        <f t="shared" si="2"/>
        <v>247.8</v>
      </c>
    </row>
    <row r="38" spans="1:14" x14ac:dyDescent="0.25">
      <c r="A38" s="131" t="s">
        <v>177</v>
      </c>
      <c r="B38" s="130">
        <v>0</v>
      </c>
      <c r="C38" s="130">
        <v>1118.73</v>
      </c>
      <c r="D38" s="130">
        <v>0</v>
      </c>
      <c r="E38" s="130">
        <v>0</v>
      </c>
      <c r="F38" s="130">
        <v>0</v>
      </c>
      <c r="G38" s="130">
        <v>0</v>
      </c>
      <c r="H38" s="130">
        <v>393.04</v>
      </c>
      <c r="I38" s="130">
        <v>0</v>
      </c>
      <c r="J38" s="130">
        <v>0</v>
      </c>
      <c r="K38" s="130">
        <v>317.99</v>
      </c>
      <c r="L38" s="130">
        <v>0</v>
      </c>
      <c r="M38" s="130">
        <v>0</v>
      </c>
      <c r="N38" s="132">
        <f t="shared" si="2"/>
        <v>1829.76</v>
      </c>
    </row>
    <row r="39" spans="1:14" x14ac:dyDescent="0.25">
      <c r="A39" s="131" t="s">
        <v>175</v>
      </c>
      <c r="B39" s="130">
        <v>0</v>
      </c>
      <c r="C39" s="130">
        <v>98.38</v>
      </c>
      <c r="D39" s="130">
        <v>741.63</v>
      </c>
      <c r="E39" s="130">
        <v>869.2</v>
      </c>
      <c r="F39" s="130">
        <v>668.22</v>
      </c>
      <c r="G39" s="130">
        <v>178.78</v>
      </c>
      <c r="H39" s="130">
        <v>301.04000000000002</v>
      </c>
      <c r="I39" s="130">
        <v>175.15</v>
      </c>
      <c r="J39" s="130">
        <v>0</v>
      </c>
      <c r="K39" s="130">
        <v>57.8</v>
      </c>
      <c r="L39" s="130">
        <v>262.01</v>
      </c>
      <c r="M39" s="130">
        <v>0</v>
      </c>
      <c r="N39" s="132">
        <f t="shared" si="2"/>
        <v>3352.2100000000009</v>
      </c>
    </row>
    <row r="40" spans="1:14" x14ac:dyDescent="0.25">
      <c r="A40" s="131" t="s">
        <v>174</v>
      </c>
      <c r="B40" s="130">
        <v>0</v>
      </c>
      <c r="C40" s="130">
        <v>0</v>
      </c>
      <c r="D40" s="130">
        <v>0</v>
      </c>
      <c r="E40" s="130">
        <v>0</v>
      </c>
      <c r="F40" s="130">
        <v>0</v>
      </c>
      <c r="G40" s="130">
        <v>0</v>
      </c>
      <c r="H40" s="130">
        <v>0</v>
      </c>
      <c r="I40" s="130">
        <v>0</v>
      </c>
      <c r="J40" s="130">
        <v>35.1</v>
      </c>
      <c r="K40" s="130">
        <v>0</v>
      </c>
      <c r="L40" s="130">
        <v>0</v>
      </c>
      <c r="M40" s="130">
        <v>0</v>
      </c>
      <c r="N40" s="132">
        <f t="shared" si="2"/>
        <v>35.1</v>
      </c>
    </row>
    <row r="41" spans="1:14" x14ac:dyDescent="0.25">
      <c r="A41" s="131" t="s">
        <v>166</v>
      </c>
      <c r="B41" s="130">
        <v>753.68</v>
      </c>
      <c r="C41" s="130">
        <v>683.68</v>
      </c>
      <c r="D41" s="130">
        <v>503.68</v>
      </c>
      <c r="E41" s="130">
        <v>503.68</v>
      </c>
      <c r="F41" s="130">
        <v>503.68</v>
      </c>
      <c r="G41" s="130">
        <v>503.68</v>
      </c>
      <c r="H41" s="130">
        <v>503.68</v>
      </c>
      <c r="I41" s="130">
        <v>823.68</v>
      </c>
      <c r="J41" s="130">
        <v>503.68</v>
      </c>
      <c r="K41" s="130">
        <v>503.68</v>
      </c>
      <c r="L41" s="130">
        <v>503.68</v>
      </c>
      <c r="M41" s="130">
        <v>0</v>
      </c>
      <c r="N41" s="132">
        <f t="shared" si="2"/>
        <v>6290.4800000000005</v>
      </c>
    </row>
    <row r="42" spans="1:14" x14ac:dyDescent="0.25">
      <c r="A42" s="131" t="s">
        <v>168</v>
      </c>
      <c r="B42" s="130">
        <v>239.69</v>
      </c>
      <c r="C42" s="130">
        <v>226.13</v>
      </c>
      <c r="D42" s="130">
        <v>243.15</v>
      </c>
      <c r="E42" s="130">
        <v>264.44</v>
      </c>
      <c r="F42" s="130">
        <v>287.08999999999997</v>
      </c>
      <c r="G42" s="130">
        <v>287.08999999999997</v>
      </c>
      <c r="H42" s="130">
        <v>322.87</v>
      </c>
      <c r="I42" s="130">
        <v>279.35000000000002</v>
      </c>
      <c r="J42" s="130">
        <v>0</v>
      </c>
      <c r="K42" s="130">
        <v>724.13</v>
      </c>
      <c r="L42" s="130">
        <v>329.43</v>
      </c>
      <c r="M42" s="130">
        <v>0</v>
      </c>
      <c r="N42" s="132">
        <f t="shared" si="2"/>
        <v>3203.37</v>
      </c>
    </row>
    <row r="43" spans="1:14" x14ac:dyDescent="0.25">
      <c r="A43" s="131" t="s">
        <v>167</v>
      </c>
      <c r="B43" s="130">
        <v>1083.5</v>
      </c>
      <c r="C43" s="130">
        <v>0</v>
      </c>
      <c r="D43" s="130">
        <v>0</v>
      </c>
      <c r="E43" s="130">
        <v>959.63</v>
      </c>
      <c r="F43" s="130">
        <v>0</v>
      </c>
      <c r="G43" s="130">
        <v>0</v>
      </c>
      <c r="H43" s="130">
        <v>1107.97</v>
      </c>
      <c r="I43" s="130">
        <v>0</v>
      </c>
      <c r="J43" s="130">
        <v>0</v>
      </c>
      <c r="K43" s="130">
        <v>1255.71</v>
      </c>
      <c r="L43" s="130">
        <v>0</v>
      </c>
      <c r="M43" s="130">
        <v>0</v>
      </c>
      <c r="N43" s="132">
        <f t="shared" si="2"/>
        <v>4406.8100000000004</v>
      </c>
    </row>
    <row r="44" spans="1:14" x14ac:dyDescent="0.25">
      <c r="A44" s="137" t="s">
        <v>154</v>
      </c>
      <c r="B44" s="136">
        <f t="shared" ref="B44:M44" si="3">SUM(B17:B43)</f>
        <v>15133.65</v>
      </c>
      <c r="C44" s="136">
        <f t="shared" si="3"/>
        <v>7094.6900000000005</v>
      </c>
      <c r="D44" s="136">
        <f t="shared" si="3"/>
        <v>7213.85</v>
      </c>
      <c r="E44" s="136">
        <f t="shared" si="3"/>
        <v>8693.0099999999984</v>
      </c>
      <c r="F44" s="136">
        <f t="shared" si="3"/>
        <v>4884.0200000000004</v>
      </c>
      <c r="G44" s="136">
        <f t="shared" si="3"/>
        <v>8066.9000000000005</v>
      </c>
      <c r="H44" s="136">
        <f t="shared" si="3"/>
        <v>9761.11</v>
      </c>
      <c r="I44" s="136">
        <f t="shared" si="3"/>
        <v>9431.1400000000012</v>
      </c>
      <c r="J44" s="136">
        <f t="shared" si="3"/>
        <v>7351.9000000000005</v>
      </c>
      <c r="K44" s="136">
        <f t="shared" si="3"/>
        <v>4093.12</v>
      </c>
      <c r="L44" s="136">
        <f t="shared" si="3"/>
        <v>8266.0500000000011</v>
      </c>
      <c r="M44" s="136">
        <f t="shared" si="3"/>
        <v>0</v>
      </c>
      <c r="N44" s="136">
        <f t="shared" si="2"/>
        <v>89989.440000000002</v>
      </c>
    </row>
    <row r="45" spans="1:14" ht="15.75" thickBot="1" x14ac:dyDescent="0.3">
      <c r="N45" s="146"/>
    </row>
    <row r="46" spans="1:14" ht="15.75" thickTop="1" x14ac:dyDescent="0.25">
      <c r="A46" s="135" t="s">
        <v>50</v>
      </c>
      <c r="B46" s="134">
        <f t="shared" ref="B46:M46" si="4">B14-B44</f>
        <v>12241.35</v>
      </c>
      <c r="C46" s="134">
        <f t="shared" si="4"/>
        <v>28601.309999999998</v>
      </c>
      <c r="D46" s="134">
        <f t="shared" si="4"/>
        <v>29665.630000000005</v>
      </c>
      <c r="E46" s="134">
        <f t="shared" si="4"/>
        <v>21498.99</v>
      </c>
      <c r="F46" s="134">
        <f t="shared" si="4"/>
        <v>24565.98</v>
      </c>
      <c r="G46" s="134">
        <f t="shared" si="4"/>
        <v>25206.1</v>
      </c>
      <c r="H46" s="134">
        <f t="shared" si="4"/>
        <v>19363.89</v>
      </c>
      <c r="I46" s="134">
        <f t="shared" si="4"/>
        <v>22850.53</v>
      </c>
      <c r="J46" s="134">
        <f t="shared" si="4"/>
        <v>26843.1</v>
      </c>
      <c r="K46" s="134">
        <f t="shared" si="4"/>
        <v>34856.879999999997</v>
      </c>
      <c r="L46" s="134">
        <f t="shared" si="4"/>
        <v>23321.449999999997</v>
      </c>
      <c r="M46" s="134">
        <f t="shared" si="4"/>
        <v>18097.5</v>
      </c>
      <c r="N46" s="134">
        <f>SUM(B46:M46)</f>
        <v>287112.71000000002</v>
      </c>
    </row>
    <row r="49" spans="1:14" x14ac:dyDescent="0.25">
      <c r="A49" s="133" t="s">
        <v>153</v>
      </c>
    </row>
    <row r="50" spans="1:14" x14ac:dyDescent="0.25">
      <c r="A50" s="131" t="s">
        <v>152</v>
      </c>
      <c r="B50" s="130">
        <v>25185.22</v>
      </c>
      <c r="C50" s="130">
        <v>12241.35</v>
      </c>
      <c r="D50" s="130">
        <v>28601.31</v>
      </c>
      <c r="E50" s="130">
        <v>29665.63</v>
      </c>
      <c r="F50" s="130">
        <v>21498.99</v>
      </c>
      <c r="G50" s="130">
        <v>24565.98</v>
      </c>
      <c r="H50" s="130">
        <v>25206.1</v>
      </c>
      <c r="I50" s="130">
        <v>19363.89</v>
      </c>
      <c r="J50" s="130">
        <v>22850.53</v>
      </c>
      <c r="K50" s="130">
        <v>0</v>
      </c>
      <c r="L50" s="130">
        <v>0</v>
      </c>
      <c r="M50" s="130">
        <v>0</v>
      </c>
      <c r="N50" s="132">
        <f>SUM(B50:M50)</f>
        <v>209179.00000000003</v>
      </c>
    </row>
    <row r="51" spans="1:14" x14ac:dyDescent="0.25">
      <c r="A51" s="131" t="s">
        <v>151</v>
      </c>
      <c r="B51" s="130">
        <v>0</v>
      </c>
      <c r="C51" s="130">
        <v>0</v>
      </c>
      <c r="D51" s="130">
        <v>0</v>
      </c>
      <c r="E51" s="130">
        <v>0</v>
      </c>
      <c r="F51" s="130">
        <v>0</v>
      </c>
      <c r="G51" s="130">
        <v>0</v>
      </c>
      <c r="H51" s="130">
        <v>0</v>
      </c>
      <c r="I51" s="130">
        <v>0</v>
      </c>
      <c r="J51" s="130">
        <v>0</v>
      </c>
      <c r="K51" s="130">
        <v>0</v>
      </c>
      <c r="L51" s="130">
        <v>-35174.839999999997</v>
      </c>
      <c r="M51" s="130">
        <v>0</v>
      </c>
      <c r="N51" s="132">
        <f>SUM(B51:M51)</f>
        <v>-35174.839999999997</v>
      </c>
    </row>
    <row r="52" spans="1:14" x14ac:dyDescent="0.25">
      <c r="A52" s="131" t="s">
        <v>150</v>
      </c>
      <c r="B52" s="130">
        <v>35578.26</v>
      </c>
      <c r="C52" s="130">
        <v>23555.95</v>
      </c>
      <c r="D52" s="130">
        <v>38408.07</v>
      </c>
      <c r="E52" s="130">
        <v>40086.04</v>
      </c>
      <c r="F52" s="130">
        <v>31266.53</v>
      </c>
      <c r="G52" s="130">
        <v>31080.03</v>
      </c>
      <c r="H52" s="130">
        <v>35146.370000000003</v>
      </c>
      <c r="I52" s="130">
        <v>27614.13</v>
      </c>
      <c r="J52" s="130">
        <v>32189.08</v>
      </c>
      <c r="K52" s="130">
        <v>3846.55</v>
      </c>
      <c r="L52" s="130">
        <v>38703.43</v>
      </c>
      <c r="M52" s="130">
        <v>26850.04</v>
      </c>
      <c r="N52" s="129">
        <f>B52</f>
        <v>35578.26</v>
      </c>
    </row>
    <row r="53" spans="1:14" x14ac:dyDescent="0.25">
      <c r="A53" s="131" t="s">
        <v>149</v>
      </c>
      <c r="B53" s="130">
        <v>23555.95</v>
      </c>
      <c r="C53" s="130">
        <v>38408.07</v>
      </c>
      <c r="D53" s="130">
        <v>40086.04</v>
      </c>
      <c r="E53" s="130">
        <v>31266.53</v>
      </c>
      <c r="F53" s="130">
        <v>31080.03</v>
      </c>
      <c r="G53" s="130">
        <v>35146.370000000003</v>
      </c>
      <c r="H53" s="130">
        <v>27614.13</v>
      </c>
      <c r="I53" s="130">
        <v>32189.08</v>
      </c>
      <c r="J53" s="130">
        <v>28141.07</v>
      </c>
      <c r="K53" s="130">
        <v>38703.43</v>
      </c>
      <c r="L53" s="130">
        <v>26850.04</v>
      </c>
      <c r="M53" s="130">
        <v>44947.54</v>
      </c>
      <c r="N53" s="129">
        <f>M53</f>
        <v>44947.54</v>
      </c>
    </row>
    <row r="54" spans="1:14" x14ac:dyDescent="0.25">
      <c r="A54" s="128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RR</vt:lpstr>
      <vt:lpstr>Cash Flow 12 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 Edwards</dc:creator>
  <cp:keywords/>
  <dc:description/>
  <cp:lastModifiedBy>Bradley Balletto</cp:lastModifiedBy>
  <cp:revision/>
  <dcterms:created xsi:type="dcterms:W3CDTF">2024-04-24T15:29:57Z</dcterms:created>
  <dcterms:modified xsi:type="dcterms:W3CDTF">2026-06-19T16:57:44Z</dcterms:modified>
  <cp:category/>
  <cp:contentStatus/>
</cp:coreProperties>
</file>