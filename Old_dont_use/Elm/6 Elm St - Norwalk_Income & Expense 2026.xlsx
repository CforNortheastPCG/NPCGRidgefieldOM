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chEdwards\NPCG Dropbox\Listings\LISTINGS - CT\NORWALK - 6 Elm St\BOV\"/>
    </mc:Choice>
  </mc:AlternateContent>
  <xr:revisionPtr revIDLastSave="0" documentId="13_ncr:1_{E776B3BD-2CC2-43C4-A744-A7C1D8BDE24C}" xr6:coauthVersionLast="47" xr6:coauthVersionMax="47" xr10:uidLastSave="{00000000-0000-0000-0000-000000000000}"/>
  <bookViews>
    <workbookView xWindow="28680" yWindow="-120" windowWidth="29040" windowHeight="15720" xr2:uid="{477F78E3-9F91-4080-A7DF-ED23F95E4EF8}"/>
  </bookViews>
  <sheets>
    <sheet name="Analysi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R5" i="1"/>
  <c r="S5" i="1"/>
  <c r="T5" i="1"/>
  <c r="Q6" i="1"/>
  <c r="R6" i="1"/>
  <c r="S6" i="1"/>
  <c r="T6" i="1"/>
  <c r="Q7" i="1"/>
  <c r="R7" i="1"/>
  <c r="S7" i="1"/>
  <c r="T7" i="1"/>
  <c r="Q8" i="1"/>
  <c r="R8" i="1"/>
  <c r="S8" i="1"/>
  <c r="T8" i="1"/>
  <c r="E6" i="1" l="1"/>
  <c r="T17" i="1"/>
  <c r="U17" i="1"/>
  <c r="T18" i="1"/>
  <c r="U18" i="1"/>
  <c r="T19" i="1"/>
  <c r="U19" i="1"/>
  <c r="U20" i="1"/>
  <c r="U21" i="1"/>
  <c r="T22" i="1"/>
  <c r="U22" i="1"/>
  <c r="T23" i="1"/>
  <c r="U23" i="1"/>
  <c r="T24" i="1"/>
  <c r="U24" i="1"/>
  <c r="T25" i="1"/>
  <c r="U25" i="1"/>
  <c r="T14" i="1"/>
  <c r="U14" i="1"/>
  <c r="T15" i="1"/>
  <c r="U15" i="1"/>
  <c r="T16" i="1"/>
  <c r="U16" i="1"/>
  <c r="Q4" i="1"/>
  <c r="R4" i="1"/>
  <c r="S4" i="1"/>
  <c r="T4" i="1"/>
  <c r="T20" i="1" s="1"/>
  <c r="S10" i="1"/>
  <c r="S26" i="1"/>
  <c r="R26" i="1"/>
  <c r="T21" i="1" l="1"/>
  <c r="S9" i="1"/>
  <c r="Q9" i="1"/>
  <c r="T9" i="1"/>
  <c r="U9" i="1"/>
  <c r="H6" i="1" l="1"/>
  <c r="H7" i="1" s="1"/>
  <c r="H8" i="1" s="1"/>
  <c r="U10" i="1"/>
  <c r="U26" i="1"/>
  <c r="T10" i="1" l="1"/>
  <c r="T26" i="1"/>
  <c r="E12" i="1"/>
  <c r="K4" i="1" l="1"/>
  <c r="E16" i="1" l="1"/>
  <c r="E7" i="1" l="1"/>
  <c r="H23" i="1" s="1"/>
  <c r="E15" i="1"/>
  <c r="K18" i="1"/>
  <c r="K19" i="1"/>
  <c r="K20" i="1"/>
  <c r="K21" i="1"/>
  <c r="K22" i="1"/>
  <c r="K24" i="1"/>
  <c r="K17" i="1"/>
  <c r="I24" i="1" l="1"/>
  <c r="L19" i="1"/>
  <c r="I18" i="1"/>
  <c r="L18" i="1"/>
  <c r="I17" i="1"/>
  <c r="L24" i="1"/>
  <c r="I23" i="1"/>
  <c r="L20" i="1"/>
  <c r="I19" i="1"/>
  <c r="I9" i="1"/>
  <c r="I22" i="1"/>
  <c r="L22" i="1"/>
  <c r="I21" i="1"/>
  <c r="E11" i="1"/>
  <c r="L21" i="1"/>
  <c r="I20" i="1"/>
  <c r="L17" i="1"/>
  <c r="H10" i="1"/>
  <c r="H4" i="1"/>
  <c r="K6" i="1"/>
  <c r="K9" i="1"/>
  <c r="L9" i="1" s="1"/>
  <c r="K23" i="1"/>
  <c r="L23" i="1" s="1"/>
  <c r="H12" i="1" l="1"/>
  <c r="H16" i="1" s="1"/>
  <c r="K7" i="1"/>
  <c r="K8" i="1" s="1"/>
  <c r="H5" i="1"/>
  <c r="J5" i="1" s="1"/>
  <c r="I10" i="1"/>
  <c r="K10" i="1"/>
  <c r="L10" i="1"/>
  <c r="K5" i="1"/>
  <c r="M5" i="1" s="1"/>
  <c r="K12" i="1" l="1"/>
  <c r="I16" i="1"/>
  <c r="K16" i="1" l="1"/>
  <c r="K25" i="1" s="1"/>
  <c r="M25" i="1" s="1"/>
  <c r="H25" i="1"/>
  <c r="J25" i="1" s="1"/>
  <c r="I25" i="1"/>
  <c r="L16" i="1" l="1"/>
  <c r="L25" i="1" s="1"/>
  <c r="K27" i="1"/>
  <c r="E14" i="1" s="1"/>
  <c r="H27" i="1"/>
  <c r="E13" i="1" l="1"/>
  <c r="E17" i="1" l="1"/>
</calcChain>
</file>

<file path=xl/sharedStrings.xml><?xml version="1.0" encoding="utf-8"?>
<sst xmlns="http://schemas.openxmlformats.org/spreadsheetml/2006/main" count="114" uniqueCount="79">
  <si>
    <t>Operating Income</t>
  </si>
  <si>
    <t>Unit Mix</t>
  </si>
  <si>
    <t>Income</t>
  </si>
  <si>
    <t>$/Unit</t>
  </si>
  <si>
    <t>%</t>
  </si>
  <si>
    <t>Current</t>
  </si>
  <si>
    <t>Pro Forma</t>
  </si>
  <si>
    <t>Unit Type</t>
  </si>
  <si>
    <t># of Units</t>
  </si>
  <si>
    <t>SF</t>
  </si>
  <si>
    <t>Current Rent</t>
  </si>
  <si>
    <t>High Achieved Rent</t>
  </si>
  <si>
    <t>Property Information</t>
  </si>
  <si>
    <t>Gross Potential Rent</t>
  </si>
  <si>
    <t>Below Market Rent</t>
  </si>
  <si>
    <t>Address</t>
  </si>
  <si>
    <t>Gross Scheduled Rent</t>
  </si>
  <si>
    <t>City/State/Zip</t>
  </si>
  <si>
    <t>Vacancy &amp; Collections Loss</t>
  </si>
  <si>
    <t>Year Built</t>
  </si>
  <si>
    <t>Effective Rental Income</t>
  </si>
  <si>
    <t>Rentable SF</t>
  </si>
  <si>
    <t>Units</t>
  </si>
  <si>
    <t>Lot Size (Acres)</t>
  </si>
  <si>
    <t>Investment Information</t>
  </si>
  <si>
    <t>Purchase Price</t>
  </si>
  <si>
    <t>Annual Total</t>
  </si>
  <si>
    <t>Price/Unit</t>
  </si>
  <si>
    <t>Average</t>
  </si>
  <si>
    <t>Price/SF</t>
  </si>
  <si>
    <t>Rent Roll</t>
  </si>
  <si>
    <t>Cap Rate - Current</t>
  </si>
  <si>
    <t>Total Additional Income</t>
  </si>
  <si>
    <t>Property</t>
  </si>
  <si>
    <t>Unit #</t>
  </si>
  <si>
    <t>Lease Start</t>
  </si>
  <si>
    <t>Lease End</t>
  </si>
  <si>
    <t>Cap Rate - Pro Forma</t>
  </si>
  <si>
    <t>Effective Gross Income</t>
  </si>
  <si>
    <t>Average Rent - Current</t>
  </si>
  <si>
    <t>Operating Expense</t>
  </si>
  <si>
    <t>Expense</t>
  </si>
  <si>
    <t>Average Rent - Pro Forma</t>
  </si>
  <si>
    <t>Property Management</t>
  </si>
  <si>
    <t>Real Estate Tax</t>
  </si>
  <si>
    <t>Property Insurance</t>
  </si>
  <si>
    <t>Electric</t>
  </si>
  <si>
    <t>Heating Fuel</t>
  </si>
  <si>
    <t>Trash Removal</t>
  </si>
  <si>
    <t>Repairs and Maintenance</t>
  </si>
  <si>
    <t>Landscaping/Snow Removal</t>
  </si>
  <si>
    <t>Monthly Total</t>
  </si>
  <si>
    <t>Total Expense</t>
  </si>
  <si>
    <t>Net Operating Income</t>
  </si>
  <si>
    <t>Average Rent - High Achieved</t>
  </si>
  <si>
    <t>3/1.00</t>
  </si>
  <si>
    <t>12</t>
  </si>
  <si>
    <t>4/1.00</t>
  </si>
  <si>
    <t>11</t>
  </si>
  <si>
    <t>2/1.00</t>
  </si>
  <si>
    <t>10</t>
  </si>
  <si>
    <t>3/1.50</t>
  </si>
  <si>
    <t>9</t>
  </si>
  <si>
    <t>1/1.00</t>
  </si>
  <si>
    <t>8</t>
  </si>
  <si>
    <t>7</t>
  </si>
  <si>
    <t>6</t>
  </si>
  <si>
    <t>5</t>
  </si>
  <si>
    <t>4</t>
  </si>
  <si>
    <t>3</t>
  </si>
  <si>
    <t>2</t>
  </si>
  <si>
    <t>1</t>
  </si>
  <si>
    <t>Norwalk, CT 06854</t>
  </si>
  <si>
    <t>Late Fee, App Fee, Misc</t>
  </si>
  <si>
    <t>Water</t>
  </si>
  <si>
    <t>6 Elm Street</t>
  </si>
  <si>
    <t>Front Building</t>
  </si>
  <si>
    <t>Middle Building</t>
  </si>
  <si>
    <t>Rear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</si>
</sst>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"/>
    <numFmt numFmtId="165" formatCode="_(* #,##0_);_(* \(#,##0\);_(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.5"/>
      <color theme="0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0.5"/>
      <name val="Aptos Narrow"/>
      <family val="2"/>
      <scheme val="minor"/>
    </font>
    <font>
      <sz val="10.5"/>
      <color rgb="FF0070C0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b/>
      <u/>
      <sz val="10.5"/>
      <color rgb="FFF8981C"/>
      <name val="Aptos Narrow"/>
      <family val="2"/>
      <scheme val="minor"/>
    </font>
    <font>
      <b/>
      <u/>
      <sz val="10.5"/>
      <color theme="1"/>
      <name val="Aptos Narrow"/>
      <family val="2"/>
      <scheme val="minor"/>
    </font>
    <font>
      <sz val="10.5"/>
      <name val="Aptos Narrow"/>
      <family val="2"/>
      <scheme val="minor"/>
    </font>
    <font>
      <b/>
      <sz val="10.5"/>
      <color rgb="FF0070C0"/>
      <name val="Aptos Narrow"/>
      <family val="2"/>
      <scheme val="minor"/>
    </font>
    <font>
      <sz val="10.5"/>
      <color theme="0"/>
      <name val="Aptos Narrow"/>
      <family val="2"/>
      <scheme val="minor"/>
    </font>
    <font>
      <sz val="11"/>
      <color theme="1"/>
      <name val="Lato"/>
      <family val="2"/>
    </font>
    <font>
      <sz val="11"/>
      <name val="Arial"/>
      <family val="1"/>
    </font>
  </fonts>
  <fills count="7">
    <fill>
      <patternFill patternType="none"/>
    </fill>
    <fill>
      <patternFill patternType="gray125"/>
    </fill>
    <fill>
      <patternFill patternType="solid">
        <fgColor rgb="FF3F4753"/>
        <bgColor indexed="64"/>
      </patternFill>
    </fill>
    <fill>
      <patternFill patternType="solid">
        <fgColor rgb="FFDCD7D2"/>
        <bgColor indexed="64"/>
      </patternFill>
    </fill>
    <fill>
      <patternFill patternType="solid">
        <fgColor rgb="FFB2A8A0"/>
        <bgColor indexed="64"/>
      </patternFill>
    </fill>
    <fill>
      <patternFill patternType="solid">
        <fgColor rgb="FFF8981C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/>
      <right style="hair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  <xf numFmtId="0" fontId="13" fillId="0" borderId="0"/>
  </cellStyleXfs>
  <cellXfs count="83">
    <xf numFmtId="0" fontId="0" fillId="0" borderId="0" xfId="0"/>
    <xf numFmtId="0" fontId="7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10" fontId="8" fillId="6" borderId="1" xfId="2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4" fontId="5" fillId="6" borderId="4" xfId="0" applyNumberFormat="1" applyFont="1" applyFill="1" applyBorder="1" applyAlignment="1">
      <alignment horizontal="center" vertical="center"/>
    </xf>
    <xf numFmtId="164" fontId="3" fillId="6" borderId="4" xfId="0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horizontal="right" vertical="center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6" borderId="0" xfId="0" applyFont="1" applyFill="1" applyAlignment="1">
      <alignment vertical="center"/>
    </xf>
    <xf numFmtId="0" fontId="6" fillId="6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6" borderId="3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0" fontId="3" fillId="3" borderId="1" xfId="2" applyNumberFormat="1" applyFont="1" applyFill="1" applyBorder="1" applyAlignment="1">
      <alignment horizontal="center" vertical="center"/>
    </xf>
    <xf numFmtId="164" fontId="3" fillId="6" borderId="0" xfId="0" applyNumberFormat="1" applyFont="1" applyFill="1" applyAlignment="1">
      <alignment horizontal="center" vertical="center"/>
    </xf>
    <xf numFmtId="10" fontId="3" fillId="6" borderId="1" xfId="2" applyNumberFormat="1" applyFont="1" applyFill="1" applyBorder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0" fontId="3" fillId="4" borderId="1" xfId="2" applyNumberFormat="1" applyFont="1" applyFill="1" applyBorder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/>
    </xf>
    <xf numFmtId="10" fontId="9" fillId="3" borderId="1" xfId="2" applyNumberFormat="1" applyFont="1" applyFill="1" applyBorder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10" fontId="9" fillId="4" borderId="1" xfId="2" applyNumberFormat="1" applyFont="1" applyFill="1" applyBorder="1" applyAlignment="1">
      <alignment horizontal="center" vertical="center"/>
    </xf>
    <xf numFmtId="10" fontId="5" fillId="6" borderId="1" xfId="2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0" fontId="3" fillId="6" borderId="0" xfId="2" applyNumberFormat="1" applyFont="1" applyFill="1" applyAlignment="1">
      <alignment horizontal="center" vertical="center"/>
    </xf>
    <xf numFmtId="164" fontId="9" fillId="6" borderId="4" xfId="0" applyNumberFormat="1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64" fontId="6" fillId="4" borderId="4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64" fontId="6" fillId="4" borderId="4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164" fontId="6" fillId="3" borderId="4" xfId="0" applyNumberFormat="1" applyFont="1" applyFill="1" applyBorder="1" applyAlignment="1">
      <alignment horizontal="center" vertical="center"/>
    </xf>
    <xf numFmtId="0" fontId="3" fillId="6" borderId="0" xfId="1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3" fontId="3" fillId="6" borderId="0" xfId="0" applyNumberFormat="1" applyFont="1" applyFill="1" applyAlignment="1">
      <alignment horizontal="center" vertical="center"/>
    </xf>
    <xf numFmtId="3" fontId="11" fillId="2" borderId="0" xfId="0" applyNumberFormat="1" applyFont="1" applyFill="1" applyAlignment="1">
      <alignment horizontal="center" vertical="center"/>
    </xf>
    <xf numFmtId="3" fontId="6" fillId="6" borderId="2" xfId="0" applyNumberFormat="1" applyFont="1" applyFill="1" applyBorder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6" fillId="3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10" fillId="6" borderId="2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0" fontId="3" fillId="6" borderId="0" xfId="2" applyNumberFormat="1" applyFont="1" applyFill="1" applyAlignment="1">
      <alignment horizontal="right" vertical="center"/>
    </xf>
    <xf numFmtId="10" fontId="3" fillId="6" borderId="3" xfId="2" applyNumberFormat="1" applyFont="1" applyFill="1" applyBorder="1" applyAlignment="1">
      <alignment horizontal="right" vertical="center"/>
    </xf>
    <xf numFmtId="164" fontId="3" fillId="6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165" fontId="3" fillId="6" borderId="0" xfId="1" applyNumberFormat="1" applyFont="1" applyFill="1" applyAlignment="1">
      <alignment horizontal="right" vertical="center"/>
    </xf>
    <xf numFmtId="165" fontId="9" fillId="6" borderId="0" xfId="1" applyNumberFormat="1" applyFont="1" applyFill="1" applyBorder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164" fontId="3" fillId="6" borderId="3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vertical="center"/>
    </xf>
    <xf numFmtId="10" fontId="3" fillId="5" borderId="0" xfId="2" applyNumberFormat="1" applyFont="1" applyFill="1" applyBorder="1" applyAlignment="1">
      <alignment horizontal="center" vertical="center"/>
    </xf>
    <xf numFmtId="164" fontId="3" fillId="5" borderId="6" xfId="0" applyNumberFormat="1" applyFont="1" applyFill="1" applyBorder="1" applyAlignment="1">
      <alignment horizontal="center" vertical="center"/>
    </xf>
    <xf numFmtId="14" fontId="5" fillId="6" borderId="0" xfId="0" applyNumberFormat="1" applyFont="1" applyFill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3" fontId="5" fillId="6" borderId="7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10" fontId="2" fillId="2" borderId="1" xfId="2" applyNumberFormat="1" applyFont="1" applyFill="1" applyBorder="1" applyAlignment="1">
      <alignment horizontal="center" vertical="center"/>
    </xf>
    <xf numFmtId="10" fontId="3" fillId="6" borderId="0" xfId="2" applyNumberFormat="1" applyFont="1" applyFill="1" applyBorder="1" applyAlignment="1">
      <alignment horizontal="center" vertical="center"/>
    </xf>
    <xf numFmtId="10" fontId="3" fillId="5" borderId="1" xfId="2" applyNumberFormat="1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3" xr:uid="{05FC86DC-8C8F-433C-93C4-86EB0D905801}"/>
    <cellStyle name="Normal 3" xfId="4" xr:uid="{B405FA08-5CDE-4810-9CF0-6410BF09D7FA}"/>
    <cellStyle name="Percent" xfId="2" builtinId="5"/>
  </cellStyles>
  <dxfs count="0"/>
  <tableStyles count="0" defaultTableStyle="TableStyleMedium2" defaultPivotStyle="PivotStyleLight16"/>
  <colors>
    <mruColors>
      <color rgb="FFDCD7D2"/>
      <color rgb="FF3F4753"/>
      <color rgb="FFB2A8A0"/>
      <color rgb="FFF898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0E251-0AF8-4C4B-94D1-971E7544388A}">
  <sheetPr>
    <tabColor rgb="FFF8981C"/>
  </sheetPr>
  <dimension ref="B2:W33"/>
  <sheetViews>
    <sheetView tabSelected="1" zoomScaleNormal="100" workbookViewId="0">
      <selection activeCell="E11" sqref="E11"/>
    </sheetView>
  </sheetViews>
  <sheetFormatPr defaultColWidth="9.140625" defaultRowHeight="14.25" x14ac:dyDescent="0.25"/>
  <cols>
    <col min="1" max="1" width="2.85546875" style="14" customWidth="1"/>
    <col min="2" max="2" width="11.85546875" style="14" customWidth="1"/>
    <col min="3" max="4" width="11.85546875" style="10" customWidth="1"/>
    <col min="5" max="5" width="18.28515625" style="10" bestFit="1" customWidth="1"/>
    <col min="6" max="6" width="2.85546875" style="14" customWidth="1"/>
    <col min="7" max="7" width="24.85546875" style="14" bestFit="1" customWidth="1"/>
    <col min="8" max="9" width="9.28515625" style="6" bestFit="1" customWidth="1"/>
    <col min="10" max="10" width="8.140625" style="43" bestFit="1" customWidth="1"/>
    <col min="11" max="12" width="9.28515625" style="6" bestFit="1" customWidth="1"/>
    <col min="13" max="13" width="7.42578125" style="43" bestFit="1" customWidth="1"/>
    <col min="14" max="14" width="2.85546875" style="14" customWidth="1"/>
    <col min="15" max="15" width="13.140625" style="14" bestFit="1" customWidth="1"/>
    <col min="16" max="16" width="8.5703125" style="6" bestFit="1" customWidth="1"/>
    <col min="17" max="17" width="8.7109375" style="6" bestFit="1" customWidth="1"/>
    <col min="18" max="18" width="9.28515625" style="55" bestFit="1" customWidth="1"/>
    <col min="19" max="19" width="11.42578125" style="6" bestFit="1" customWidth="1"/>
    <col min="20" max="20" width="17" style="6" bestFit="1" customWidth="1"/>
    <col min="21" max="21" width="9.5703125" style="6" bestFit="1" customWidth="1"/>
    <col min="22" max="23" width="10.140625" style="6" bestFit="1" customWidth="1"/>
    <col min="24" max="16384" width="9.140625" style="14"/>
  </cols>
  <sheetData>
    <row r="2" spans="2:23" x14ac:dyDescent="0.25">
      <c r="B2" s="13" t="s">
        <v>12</v>
      </c>
      <c r="C2" s="62"/>
      <c r="D2" s="62"/>
      <c r="E2" s="62"/>
      <c r="F2" s="19"/>
      <c r="G2" s="15" t="s">
        <v>0</v>
      </c>
      <c r="H2" s="27"/>
      <c r="I2" s="27"/>
      <c r="J2" s="80"/>
      <c r="K2" s="27"/>
      <c r="L2" s="27"/>
      <c r="M2" s="80"/>
      <c r="O2" s="13" t="s">
        <v>1</v>
      </c>
      <c r="P2" s="49"/>
      <c r="Q2" s="49"/>
      <c r="R2" s="56"/>
      <c r="S2" s="49"/>
      <c r="T2" s="49"/>
      <c r="U2" s="49"/>
      <c r="V2" s="49"/>
      <c r="W2" s="49"/>
    </row>
    <row r="3" spans="2:23" ht="15" thickBot="1" x14ac:dyDescent="0.3">
      <c r="B3" s="16" t="s">
        <v>15</v>
      </c>
      <c r="D3" s="66"/>
      <c r="E3" s="66" t="s">
        <v>75</v>
      </c>
      <c r="F3" s="19"/>
      <c r="G3" s="17" t="s">
        <v>2</v>
      </c>
      <c r="H3" s="1" t="s">
        <v>5</v>
      </c>
      <c r="I3" s="2" t="s">
        <v>3</v>
      </c>
      <c r="J3" s="3" t="s">
        <v>4</v>
      </c>
      <c r="K3" s="1" t="s">
        <v>6</v>
      </c>
      <c r="L3" s="2" t="s">
        <v>3</v>
      </c>
      <c r="M3" s="3" t="s">
        <v>4</v>
      </c>
      <c r="O3" s="4"/>
      <c r="P3" s="4" t="s">
        <v>7</v>
      </c>
      <c r="Q3" s="4" t="s">
        <v>8</v>
      </c>
      <c r="R3" s="57" t="s">
        <v>9</v>
      </c>
      <c r="S3" s="5" t="s">
        <v>10</v>
      </c>
      <c r="T3" s="5" t="s">
        <v>11</v>
      </c>
      <c r="U3" s="45" t="s">
        <v>6</v>
      </c>
      <c r="V3" s="4"/>
      <c r="W3" s="4"/>
    </row>
    <row r="4" spans="2:23" x14ac:dyDescent="0.25">
      <c r="B4" s="16" t="s">
        <v>17</v>
      </c>
      <c r="D4" s="66"/>
      <c r="E4" s="66" t="s">
        <v>72</v>
      </c>
      <c r="F4" s="19"/>
      <c r="G4" s="18" t="s">
        <v>13</v>
      </c>
      <c r="H4" s="28">
        <f>$U$9</f>
        <v>372600</v>
      </c>
      <c r="I4" s="29"/>
      <c r="J4" s="30"/>
      <c r="K4" s="28">
        <f>$U$9</f>
        <v>372600</v>
      </c>
      <c r="L4" s="29"/>
      <c r="M4" s="30"/>
      <c r="P4" s="7" t="s">
        <v>63</v>
      </c>
      <c r="Q4" s="53">
        <f>IF(P4="*Insert Unit Type*","",COUNTIF($Q$14:$Q$25,P4))</f>
        <v>2</v>
      </c>
      <c r="R4" s="55">
        <f>IFERROR(AVERAGEIF($Q$14:$Q$25,P4,$R$14:$R$25),"")</f>
        <v>772.5</v>
      </c>
      <c r="S4" s="44">
        <f>IF(P4="*Insert Unit Type*","",(AVERAGEIF($Q$14:$Q$25,P4,$S$14:$S$25)))</f>
        <v>1847.5</v>
      </c>
      <c r="T4" s="44">
        <f>IF(P4="*Insert Unit Type*","",_xlfn.MAXIFS($S$14:$S$25,$Q$14:$Q$25,P4))</f>
        <v>1895</v>
      </c>
      <c r="U4" s="8">
        <v>2000</v>
      </c>
    </row>
    <row r="5" spans="2:23" x14ac:dyDescent="0.25">
      <c r="B5" s="16" t="s">
        <v>19</v>
      </c>
      <c r="D5" s="66"/>
      <c r="E5" s="66">
        <v>1967</v>
      </c>
      <c r="F5" s="19"/>
      <c r="G5" s="19" t="s">
        <v>14</v>
      </c>
      <c r="H5" s="31">
        <f>H6-H4</f>
        <v>-54240</v>
      </c>
      <c r="J5" s="32">
        <f>IFERROR(H5/H4,0)</f>
        <v>-0.14557165861513688</v>
      </c>
      <c r="K5" s="31">
        <f>K6-K4</f>
        <v>0</v>
      </c>
      <c r="M5" s="32">
        <f>IFERROR(K5/K4,0)</f>
        <v>0</v>
      </c>
      <c r="P5" s="7" t="s">
        <v>59</v>
      </c>
      <c r="Q5" s="53">
        <f>IF(P5="*Insert Unit Type*","",COUNTIF($Q$14:$Q$25,P5))</f>
        <v>7</v>
      </c>
      <c r="R5" s="55">
        <f>IFERROR(AVERAGEIF($Q$14:$Q$25,P5,$R$14:$R$25),"")</f>
        <v>882</v>
      </c>
      <c r="S5" s="44">
        <f>IF(P5="*Insert Unit Type*","",(AVERAGEIF($Q$14:$Q$25,P5,$S$14:$S$25)))</f>
        <v>2158.5714285714284</v>
      </c>
      <c r="T5" s="44">
        <f>IF(P5="*Insert Unit Type*","",_xlfn.MAXIFS($S$14:$S$25,$Q$14:$Q$25,P5))</f>
        <v>2550</v>
      </c>
      <c r="U5" s="8">
        <v>2600</v>
      </c>
    </row>
    <row r="6" spans="2:23" x14ac:dyDescent="0.25">
      <c r="B6" s="16" t="s">
        <v>21</v>
      </c>
      <c r="D6" s="67"/>
      <c r="E6" s="67">
        <f>SUM(R14:R25)</f>
        <v>12085</v>
      </c>
      <c r="F6" s="19"/>
      <c r="G6" s="18" t="s">
        <v>16</v>
      </c>
      <c r="H6" s="28">
        <f>$S$9</f>
        <v>318360</v>
      </c>
      <c r="I6" s="29"/>
      <c r="J6" s="30"/>
      <c r="K6" s="28">
        <f>U9</f>
        <v>372600</v>
      </c>
      <c r="L6" s="29"/>
      <c r="M6" s="30"/>
      <c r="P6" s="7" t="s">
        <v>55</v>
      </c>
      <c r="Q6" s="53">
        <f>IF(P6="*Insert Unit Type*","",COUNTIF($Q$14:$Q$25,P6))</f>
        <v>1</v>
      </c>
      <c r="R6" s="55">
        <f>IFERROR(AVERAGEIF($Q$14:$Q$25,P6,$R$14:$R$25),"")</f>
        <v>1210</v>
      </c>
      <c r="S6" s="44">
        <f>IF(P6="*Insert Unit Type*","",(AVERAGEIF($Q$14:$Q$25,P6,$S$14:$S$25)))</f>
        <v>2625</v>
      </c>
      <c r="T6" s="44">
        <f>IF(P6="*Insert Unit Type*","",_xlfn.MAXIFS($S$14:$S$25,$Q$14:$Q$25,P6))</f>
        <v>2625</v>
      </c>
      <c r="U6" s="8">
        <v>2750</v>
      </c>
    </row>
    <row r="7" spans="2:23" x14ac:dyDescent="0.25">
      <c r="B7" s="16" t="s">
        <v>22</v>
      </c>
      <c r="D7" s="68"/>
      <c r="E7" s="68">
        <f>Q9</f>
        <v>12</v>
      </c>
      <c r="F7" s="19"/>
      <c r="G7" s="19" t="s">
        <v>18</v>
      </c>
      <c r="H7" s="31">
        <f>-ABS(H6*J7)</f>
        <v>-15918</v>
      </c>
      <c r="J7" s="41">
        <v>0.05</v>
      </c>
      <c r="K7" s="31">
        <f>-ABS(K6*M7)</f>
        <v>-18630</v>
      </c>
      <c r="M7" s="41">
        <v>0.05</v>
      </c>
      <c r="P7" s="7" t="s">
        <v>61</v>
      </c>
      <c r="Q7" s="53">
        <f>IF(P7="*Insert Unit Type*","",COUNTIF($Q$14:$Q$25,P7))</f>
        <v>1</v>
      </c>
      <c r="R7" s="55">
        <f>IFERROR(AVERAGEIF($Q$14:$Q$25,P7,$R$14:$R$25),"")</f>
        <v>1374</v>
      </c>
      <c r="S7" s="44">
        <f>IF(P7="*Insert Unit Type*","",(AVERAGEIF($Q$14:$Q$25,P7,$S$14:$S$25)))</f>
        <v>2000</v>
      </c>
      <c r="T7" s="44">
        <f>IF(P7="*Insert Unit Type*","",_xlfn.MAXIFS($S$14:$S$25,$Q$14:$Q$25,P7))</f>
        <v>2000</v>
      </c>
      <c r="U7" s="8">
        <v>2850</v>
      </c>
    </row>
    <row r="8" spans="2:23" x14ac:dyDescent="0.25">
      <c r="B8" s="16" t="s">
        <v>23</v>
      </c>
      <c r="D8" s="66"/>
      <c r="E8" s="66">
        <v>0.5</v>
      </c>
      <c r="F8" s="19"/>
      <c r="G8" s="20" t="s">
        <v>20</v>
      </c>
      <c r="H8" s="33">
        <f>SUM(H6:H7)</f>
        <v>302442</v>
      </c>
      <c r="I8" s="34"/>
      <c r="J8" s="35"/>
      <c r="K8" s="33">
        <f>SUM(K6:K7)</f>
        <v>353970</v>
      </c>
      <c r="L8" s="34"/>
      <c r="M8" s="35"/>
      <c r="P8" s="7" t="s">
        <v>57</v>
      </c>
      <c r="Q8" s="53">
        <f>IF(P8="*Insert Unit Type*","",COUNTIF($Q$14:$Q$25,P8))</f>
        <v>1</v>
      </c>
      <c r="R8" s="55">
        <f>IFERROR(AVERAGEIF($Q$14:$Q$25,P8,$R$14:$R$25),"")</f>
        <v>1782</v>
      </c>
      <c r="S8" s="44">
        <f>IF(P8="*Insert Unit Type*","",(AVERAGEIF($Q$14:$Q$25,P8,$S$14:$S$25)))</f>
        <v>3100</v>
      </c>
      <c r="T8" s="44">
        <f>IF(P8="*Insert Unit Type*","",_xlfn.MAXIFS($S$14:$S$25,$Q$14:$Q$25,P8))</f>
        <v>3100</v>
      </c>
      <c r="U8" s="8">
        <v>3250</v>
      </c>
    </row>
    <row r="9" spans="2:23" x14ac:dyDescent="0.25">
      <c r="B9" s="13" t="s">
        <v>24</v>
      </c>
      <c r="C9" s="70"/>
      <c r="D9" s="70"/>
      <c r="E9" s="70"/>
      <c r="F9" s="19"/>
      <c r="G9" s="21" t="s">
        <v>73</v>
      </c>
      <c r="H9" s="31">
        <v>1050</v>
      </c>
      <c r="I9" s="55">
        <f>IFERROR(H9/$E$7,0)</f>
        <v>87.5</v>
      </c>
      <c r="J9" s="32"/>
      <c r="K9" s="31">
        <f>H9</f>
        <v>1050</v>
      </c>
      <c r="L9" s="55">
        <f>IFERROR(K9/$E$7,0)</f>
        <v>87.5</v>
      </c>
      <c r="M9" s="32"/>
      <c r="O9" s="11" t="s">
        <v>26</v>
      </c>
      <c r="P9" s="12"/>
      <c r="Q9" s="12">
        <f>SUM(Q4:Q8)</f>
        <v>12</v>
      </c>
      <c r="R9" s="58"/>
      <c r="S9" s="50">
        <f>SUMPRODUCT($Q$4:$Q$8,S4:S8)*12</f>
        <v>318360</v>
      </c>
      <c r="T9" s="50">
        <f>SUMPRODUCT($Q$4:$Q$8,T4:T8)*12</f>
        <v>352380</v>
      </c>
      <c r="U9" s="50">
        <f>SUMPRODUCT($Q$4:$Q$8,U4:U8)*12</f>
        <v>372600</v>
      </c>
      <c r="V9" s="12"/>
      <c r="W9" s="12"/>
    </row>
    <row r="10" spans="2:23" x14ac:dyDescent="0.25">
      <c r="B10" s="16" t="s">
        <v>25</v>
      </c>
      <c r="D10" s="69"/>
      <c r="E10" s="69">
        <v>3275000</v>
      </c>
      <c r="F10" s="19"/>
      <c r="G10" s="23" t="s">
        <v>32</v>
      </c>
      <c r="H10" s="36">
        <f>SUM(H9:H9)</f>
        <v>1050</v>
      </c>
      <c r="I10" s="36">
        <f>SUM(I9:I9)</f>
        <v>87.5</v>
      </c>
      <c r="J10" s="37"/>
      <c r="K10" s="36">
        <f>SUM(K9:K9)</f>
        <v>1050</v>
      </c>
      <c r="L10" s="36">
        <f>SUM(L9:L9)</f>
        <v>87.5</v>
      </c>
      <c r="M10" s="37"/>
      <c r="O10" s="26" t="s">
        <v>28</v>
      </c>
      <c r="P10" s="51"/>
      <c r="Q10" s="51"/>
      <c r="R10" s="59"/>
      <c r="S10" s="52">
        <f>IFERROR(AVERAGE(S14:S25),0)</f>
        <v>2210.8333333333335</v>
      </c>
      <c r="T10" s="52">
        <f>IFERROR(AVERAGE(T14:T25),0)</f>
        <v>2447.0833333333335</v>
      </c>
      <c r="U10" s="52">
        <f>IFERROR(AVERAGE(U14:U25),0)</f>
        <v>2587.5</v>
      </c>
      <c r="V10" s="51"/>
      <c r="W10" s="51"/>
    </row>
    <row r="11" spans="2:23" x14ac:dyDescent="0.25">
      <c r="B11" s="16" t="s">
        <v>27</v>
      </c>
      <c r="D11" s="65"/>
      <c r="E11" s="65">
        <f>IFERROR(E10/E7,0)</f>
        <v>272916.66666666669</v>
      </c>
      <c r="F11" s="19"/>
      <c r="G11" s="19"/>
      <c r="H11" s="31"/>
      <c r="J11" s="32"/>
      <c r="K11" s="31"/>
      <c r="M11" s="32"/>
    </row>
    <row r="12" spans="2:23" x14ac:dyDescent="0.25">
      <c r="B12" s="22" t="s">
        <v>29</v>
      </c>
      <c r="C12" s="71"/>
      <c r="D12" s="71"/>
      <c r="E12" s="71">
        <f>IFERROR(E10/E6,0)</f>
        <v>270.99710384774517</v>
      </c>
      <c r="F12" s="19"/>
      <c r="G12" s="24" t="s">
        <v>38</v>
      </c>
      <c r="H12" s="38">
        <f>H8+H10</f>
        <v>303492</v>
      </c>
      <c r="I12" s="39"/>
      <c r="J12" s="40"/>
      <c r="K12" s="38">
        <f>K8+K10</f>
        <v>355020</v>
      </c>
      <c r="L12" s="39"/>
      <c r="M12" s="40"/>
      <c r="O12" s="13" t="s">
        <v>30</v>
      </c>
      <c r="P12" s="27"/>
      <c r="Q12" s="27"/>
      <c r="R12" s="60"/>
      <c r="S12" s="27"/>
      <c r="T12" s="27"/>
      <c r="U12" s="27"/>
      <c r="V12" s="27"/>
      <c r="W12" s="27"/>
    </row>
    <row r="13" spans="2:23" ht="15" thickBot="1" x14ac:dyDescent="0.3">
      <c r="B13" s="16" t="s">
        <v>31</v>
      </c>
      <c r="D13" s="63"/>
      <c r="E13" s="63">
        <f>IFERROR(H27/E10,0)</f>
        <v>6.4975196946564895E-2</v>
      </c>
      <c r="F13" s="19"/>
      <c r="G13" s="19"/>
      <c r="J13" s="32"/>
      <c r="M13" s="32"/>
      <c r="O13" s="4" t="s">
        <v>33</v>
      </c>
      <c r="P13" s="46" t="s">
        <v>34</v>
      </c>
      <c r="Q13" s="46" t="s">
        <v>7</v>
      </c>
      <c r="R13" s="61" t="s">
        <v>9</v>
      </c>
      <c r="S13" s="45" t="s">
        <v>10</v>
      </c>
      <c r="T13" s="5" t="s">
        <v>11</v>
      </c>
      <c r="U13" s="5" t="s">
        <v>6</v>
      </c>
      <c r="V13" s="46" t="s">
        <v>35</v>
      </c>
      <c r="W13" s="46" t="s">
        <v>36</v>
      </c>
    </row>
    <row r="14" spans="2:23" x14ac:dyDescent="0.25">
      <c r="B14" s="22" t="s">
        <v>37</v>
      </c>
      <c r="C14" s="71"/>
      <c r="D14" s="64"/>
      <c r="E14" s="64">
        <f>IFERROR(K27/E10,0)</f>
        <v>7.9922250381679383E-2</v>
      </c>
      <c r="F14" s="19"/>
      <c r="G14" s="15" t="s">
        <v>40</v>
      </c>
      <c r="H14" s="27"/>
      <c r="I14" s="27"/>
      <c r="J14" s="80"/>
      <c r="K14" s="27"/>
      <c r="L14" s="27"/>
      <c r="M14" s="80"/>
      <c r="O14" s="7" t="s">
        <v>76</v>
      </c>
      <c r="P14" s="7" t="s">
        <v>71</v>
      </c>
      <c r="Q14" s="7" t="s">
        <v>59</v>
      </c>
      <c r="R14" s="77">
        <v>800</v>
      </c>
      <c r="S14" s="54">
        <v>2170</v>
      </c>
      <c r="T14" s="44">
        <f t="shared" ref="T14:T25" si="0">IF(Q14="","",_xlfn.XLOOKUP(Q14,$P$4:$P$8,$T$4:$T$8))</f>
        <v>2550</v>
      </c>
      <c r="U14" s="9">
        <f t="shared" ref="U14:U25" si="1">IF(Q14="*Insert Unit Type*","",_xlfn.XLOOKUP(Q14,$P$4:$P$8,$U$4:$U$8,""))</f>
        <v>2600</v>
      </c>
      <c r="V14" s="75">
        <v>45261</v>
      </c>
      <c r="W14" s="75">
        <v>46387</v>
      </c>
    </row>
    <row r="15" spans="2:23" x14ac:dyDescent="0.25">
      <c r="B15" s="16" t="s">
        <v>39</v>
      </c>
      <c r="D15" s="65"/>
      <c r="E15" s="65">
        <f>S10</f>
        <v>2210.8333333333335</v>
      </c>
      <c r="F15" s="19"/>
      <c r="G15" s="17" t="s">
        <v>41</v>
      </c>
      <c r="H15" s="1" t="s">
        <v>5</v>
      </c>
      <c r="I15" s="2" t="s">
        <v>3</v>
      </c>
      <c r="J15" s="3" t="s">
        <v>4</v>
      </c>
      <c r="K15" s="1" t="s">
        <v>6</v>
      </c>
      <c r="L15" s="2" t="s">
        <v>3</v>
      </c>
      <c r="M15" s="3" t="s">
        <v>4</v>
      </c>
      <c r="O15" s="7" t="s">
        <v>76</v>
      </c>
      <c r="P15" s="7" t="s">
        <v>70</v>
      </c>
      <c r="Q15" s="7" t="s">
        <v>59</v>
      </c>
      <c r="R15" s="78">
        <v>800</v>
      </c>
      <c r="S15" s="54">
        <v>2150</v>
      </c>
      <c r="T15" s="44">
        <f t="shared" si="0"/>
        <v>2550</v>
      </c>
      <c r="U15" s="9">
        <f t="shared" si="1"/>
        <v>2600</v>
      </c>
      <c r="V15" s="75">
        <v>46011</v>
      </c>
      <c r="W15" s="75">
        <v>46375</v>
      </c>
    </row>
    <row r="16" spans="2:23" x14ac:dyDescent="0.25">
      <c r="B16" s="16" t="s">
        <v>54</v>
      </c>
      <c r="D16" s="65"/>
      <c r="E16" s="65">
        <f>T10</f>
        <v>2447.0833333333335</v>
      </c>
      <c r="F16" s="19"/>
      <c r="G16" s="21" t="s">
        <v>43</v>
      </c>
      <c r="H16" s="31">
        <f>H12*J16</f>
        <v>15174.6</v>
      </c>
      <c r="I16" s="55">
        <f t="shared" ref="I16:I24" si="2">IFERROR(H16/$E$7,0)</f>
        <v>1264.55</v>
      </c>
      <c r="J16" s="41">
        <v>0.05</v>
      </c>
      <c r="K16" s="31">
        <f>K12*M16</f>
        <v>17751</v>
      </c>
      <c r="L16" s="55">
        <f t="shared" ref="L16:L24" si="3">IFERROR(K16/$E$7,0)</f>
        <v>1479.25</v>
      </c>
      <c r="M16" s="41">
        <v>0.05</v>
      </c>
      <c r="O16" s="7" t="s">
        <v>76</v>
      </c>
      <c r="P16" s="7" t="s">
        <v>69</v>
      </c>
      <c r="Q16" s="7" t="s">
        <v>59</v>
      </c>
      <c r="R16" s="78">
        <v>800</v>
      </c>
      <c r="S16" s="54">
        <v>1900</v>
      </c>
      <c r="T16" s="44">
        <f t="shared" si="0"/>
        <v>2550</v>
      </c>
      <c r="U16" s="9">
        <f t="shared" si="1"/>
        <v>2600</v>
      </c>
      <c r="V16" s="75">
        <v>45108</v>
      </c>
      <c r="W16" s="75">
        <v>46081</v>
      </c>
    </row>
    <row r="17" spans="2:23" x14ac:dyDescent="0.25">
      <c r="B17" s="16" t="s">
        <v>42</v>
      </c>
      <c r="D17" s="65"/>
      <c r="E17" s="65">
        <f>U10</f>
        <v>2587.5</v>
      </c>
      <c r="F17" s="19"/>
      <c r="G17" s="21" t="s">
        <v>44</v>
      </c>
      <c r="H17" s="31">
        <v>35338.06</v>
      </c>
      <c r="I17" s="55">
        <f t="shared" si="2"/>
        <v>2944.8383333333331</v>
      </c>
      <c r="J17" s="32"/>
      <c r="K17" s="31">
        <f>H17</f>
        <v>35338.06</v>
      </c>
      <c r="L17" s="55">
        <f t="shared" si="3"/>
        <v>2944.8383333333331</v>
      </c>
      <c r="M17" s="32"/>
      <c r="O17" s="7" t="s">
        <v>76</v>
      </c>
      <c r="P17" s="7" t="s">
        <v>68</v>
      </c>
      <c r="Q17" s="7" t="s">
        <v>59</v>
      </c>
      <c r="R17" s="78">
        <v>800</v>
      </c>
      <c r="S17" s="54">
        <v>2220</v>
      </c>
      <c r="T17" s="44">
        <f t="shared" si="0"/>
        <v>2550</v>
      </c>
      <c r="U17" s="9">
        <f t="shared" si="1"/>
        <v>2600</v>
      </c>
      <c r="V17" s="75">
        <v>45261</v>
      </c>
      <c r="W17" s="75">
        <v>46387</v>
      </c>
    </row>
    <row r="18" spans="2:23" x14ac:dyDescent="0.25">
      <c r="F18" s="19"/>
      <c r="G18" s="21" t="s">
        <v>45</v>
      </c>
      <c r="H18" s="31">
        <v>9744.84</v>
      </c>
      <c r="I18" s="55">
        <f t="shared" si="2"/>
        <v>812.07</v>
      </c>
      <c r="J18" s="32"/>
      <c r="K18" s="31">
        <f t="shared" ref="K18:K24" si="4">H18</f>
        <v>9744.84</v>
      </c>
      <c r="L18" s="55">
        <f t="shared" si="3"/>
        <v>812.07</v>
      </c>
      <c r="M18" s="32"/>
      <c r="O18" s="7" t="s">
        <v>76</v>
      </c>
      <c r="P18" s="7" t="s">
        <v>67</v>
      </c>
      <c r="Q18" s="7" t="s">
        <v>59</v>
      </c>
      <c r="R18" s="78">
        <v>800</v>
      </c>
      <c r="S18" s="54">
        <v>2550</v>
      </c>
      <c r="T18" s="44">
        <f t="shared" si="0"/>
        <v>2550</v>
      </c>
      <c r="U18" s="9">
        <f t="shared" si="1"/>
        <v>2600</v>
      </c>
      <c r="V18" s="75">
        <v>45536</v>
      </c>
      <c r="W18" s="75">
        <v>46265</v>
      </c>
    </row>
    <row r="19" spans="2:23" x14ac:dyDescent="0.25">
      <c r="G19" s="21" t="s">
        <v>46</v>
      </c>
      <c r="H19" s="31">
        <v>4168.67</v>
      </c>
      <c r="I19" s="55">
        <f t="shared" si="2"/>
        <v>347.38916666666665</v>
      </c>
      <c r="J19" s="32"/>
      <c r="K19" s="31">
        <f t="shared" si="4"/>
        <v>4168.67</v>
      </c>
      <c r="L19" s="55">
        <f t="shared" si="3"/>
        <v>347.38916666666665</v>
      </c>
      <c r="M19" s="32"/>
      <c r="O19" s="7" t="s">
        <v>76</v>
      </c>
      <c r="P19" s="7" t="s">
        <v>66</v>
      </c>
      <c r="Q19" s="7" t="s">
        <v>59</v>
      </c>
      <c r="R19" s="78">
        <v>800</v>
      </c>
      <c r="S19" s="54">
        <v>1950</v>
      </c>
      <c r="T19" s="44">
        <f t="shared" si="0"/>
        <v>2550</v>
      </c>
      <c r="U19" s="9">
        <f t="shared" si="1"/>
        <v>2600</v>
      </c>
      <c r="V19" s="75">
        <v>45748</v>
      </c>
      <c r="W19" s="75">
        <v>46477</v>
      </c>
    </row>
    <row r="20" spans="2:23" x14ac:dyDescent="0.25">
      <c r="G20" s="21" t="s">
        <v>47</v>
      </c>
      <c r="H20" s="31">
        <v>5447.3</v>
      </c>
      <c r="I20" s="55">
        <f t="shared" si="2"/>
        <v>453.94166666666666</v>
      </c>
      <c r="J20" s="32"/>
      <c r="K20" s="31">
        <f t="shared" si="4"/>
        <v>5447.3</v>
      </c>
      <c r="L20" s="55">
        <f t="shared" si="3"/>
        <v>453.94166666666666</v>
      </c>
      <c r="M20" s="32"/>
      <c r="O20" s="7" t="s">
        <v>77</v>
      </c>
      <c r="P20" s="7" t="s">
        <v>65</v>
      </c>
      <c r="Q20" s="7" t="s">
        <v>63</v>
      </c>
      <c r="R20" s="78">
        <v>700</v>
      </c>
      <c r="S20" s="54">
        <v>1800</v>
      </c>
      <c r="T20" s="44">
        <f t="shared" si="0"/>
        <v>1895</v>
      </c>
      <c r="U20" s="9">
        <f t="shared" si="1"/>
        <v>2000</v>
      </c>
      <c r="V20" s="75">
        <v>46054</v>
      </c>
      <c r="W20" s="75">
        <v>46418</v>
      </c>
    </row>
    <row r="21" spans="2:23" x14ac:dyDescent="0.25">
      <c r="G21" s="21" t="s">
        <v>74</v>
      </c>
      <c r="H21" s="31">
        <v>4667.92</v>
      </c>
      <c r="I21" s="55">
        <f t="shared" si="2"/>
        <v>388.99333333333334</v>
      </c>
      <c r="J21" s="32"/>
      <c r="K21" s="31">
        <f t="shared" si="4"/>
        <v>4667.92</v>
      </c>
      <c r="L21" s="55">
        <f t="shared" si="3"/>
        <v>388.99333333333334</v>
      </c>
      <c r="M21" s="32"/>
      <c r="O21" s="7" t="s">
        <v>77</v>
      </c>
      <c r="P21" s="7" t="s">
        <v>64</v>
      </c>
      <c r="Q21" s="7" t="s">
        <v>63</v>
      </c>
      <c r="R21" s="78">
        <v>845</v>
      </c>
      <c r="S21" s="54">
        <v>1895</v>
      </c>
      <c r="T21" s="44">
        <f t="shared" si="0"/>
        <v>1895</v>
      </c>
      <c r="U21" s="9">
        <f t="shared" si="1"/>
        <v>2000</v>
      </c>
      <c r="V21" s="75">
        <v>45839</v>
      </c>
      <c r="W21" s="75">
        <v>46203</v>
      </c>
    </row>
    <row r="22" spans="2:23" x14ac:dyDescent="0.25">
      <c r="G22" s="21" t="s">
        <v>48</v>
      </c>
      <c r="H22" s="31">
        <v>4766.84</v>
      </c>
      <c r="I22" s="55">
        <f t="shared" si="2"/>
        <v>397.23666666666668</v>
      </c>
      <c r="J22" s="32"/>
      <c r="K22" s="31">
        <f t="shared" si="4"/>
        <v>4766.84</v>
      </c>
      <c r="L22" s="55">
        <f t="shared" si="3"/>
        <v>397.23666666666668</v>
      </c>
      <c r="M22" s="32"/>
      <c r="O22" s="7" t="s">
        <v>77</v>
      </c>
      <c r="P22" s="7" t="s">
        <v>62</v>
      </c>
      <c r="Q22" s="7" t="s">
        <v>61</v>
      </c>
      <c r="R22" s="78">
        <v>1374</v>
      </c>
      <c r="S22" s="54">
        <v>2000</v>
      </c>
      <c r="T22" s="44">
        <f t="shared" si="0"/>
        <v>2000</v>
      </c>
      <c r="U22" s="9">
        <f t="shared" si="1"/>
        <v>2850</v>
      </c>
      <c r="V22" s="75">
        <v>45108</v>
      </c>
      <c r="W22" s="75">
        <v>46446</v>
      </c>
    </row>
    <row r="23" spans="2:23" x14ac:dyDescent="0.25">
      <c r="G23" s="21" t="s">
        <v>49</v>
      </c>
      <c r="H23" s="31">
        <f>500*E7</f>
        <v>6000</v>
      </c>
      <c r="I23" s="55">
        <f t="shared" si="2"/>
        <v>500</v>
      </c>
      <c r="J23" s="32"/>
      <c r="K23" s="31">
        <f t="shared" si="4"/>
        <v>6000</v>
      </c>
      <c r="L23" s="55">
        <f t="shared" si="3"/>
        <v>500</v>
      </c>
      <c r="M23" s="32"/>
      <c r="O23" s="7" t="s">
        <v>77</v>
      </c>
      <c r="P23" s="7" t="s">
        <v>60</v>
      </c>
      <c r="Q23" s="7" t="s">
        <v>59</v>
      </c>
      <c r="R23" s="78">
        <v>1374</v>
      </c>
      <c r="S23" s="54">
        <v>2170</v>
      </c>
      <c r="T23" s="44">
        <f t="shared" si="0"/>
        <v>2550</v>
      </c>
      <c r="U23" s="9">
        <f t="shared" si="1"/>
        <v>2600</v>
      </c>
      <c r="V23" s="75">
        <v>45261</v>
      </c>
      <c r="W23" s="75">
        <v>46418</v>
      </c>
    </row>
    <row r="24" spans="2:23" x14ac:dyDescent="0.25">
      <c r="G24" s="21" t="s">
        <v>50</v>
      </c>
      <c r="H24" s="31">
        <v>5390</v>
      </c>
      <c r="I24" s="55">
        <f t="shared" si="2"/>
        <v>449.16666666666669</v>
      </c>
      <c r="J24" s="32"/>
      <c r="K24" s="31">
        <f t="shared" si="4"/>
        <v>5390</v>
      </c>
      <c r="L24" s="55">
        <f t="shared" si="3"/>
        <v>449.16666666666669</v>
      </c>
      <c r="M24" s="32"/>
      <c r="O24" s="7" t="s">
        <v>78</v>
      </c>
      <c r="P24" s="7" t="s">
        <v>58</v>
      </c>
      <c r="Q24" s="7" t="s">
        <v>57</v>
      </c>
      <c r="R24" s="78">
        <v>1782</v>
      </c>
      <c r="S24" s="54">
        <v>3100</v>
      </c>
      <c r="T24" s="44">
        <f t="shared" si="0"/>
        <v>3100</v>
      </c>
      <c r="U24" s="9">
        <f t="shared" si="1"/>
        <v>3250</v>
      </c>
      <c r="V24" s="75">
        <v>45627</v>
      </c>
      <c r="W24" s="75">
        <v>46356</v>
      </c>
    </row>
    <row r="25" spans="2:23" x14ac:dyDescent="0.25">
      <c r="G25" s="20" t="s">
        <v>52</v>
      </c>
      <c r="H25" s="33">
        <f>SUM(H16:H24)</f>
        <v>90698.23</v>
      </c>
      <c r="I25" s="33">
        <f>SUM(I16:I24)</f>
        <v>7558.185833333333</v>
      </c>
      <c r="J25" s="35">
        <f>IFERROR(H25/H12,0)</f>
        <v>0.29884883291816589</v>
      </c>
      <c r="K25" s="33">
        <f>SUM(K16:K24)</f>
        <v>93274.62999999999</v>
      </c>
      <c r="L25" s="33">
        <f>SUM(L16:L24)</f>
        <v>7772.8858333333337</v>
      </c>
      <c r="M25" s="35">
        <f>IFERROR(K25/K12,0)</f>
        <v>0.26273063489380877</v>
      </c>
      <c r="O25" s="7" t="s">
        <v>78</v>
      </c>
      <c r="P25" s="7" t="s">
        <v>56</v>
      </c>
      <c r="Q25" s="7" t="s">
        <v>55</v>
      </c>
      <c r="R25" s="78">
        <v>1210</v>
      </c>
      <c r="S25" s="54">
        <v>2625</v>
      </c>
      <c r="T25" s="44">
        <f t="shared" si="0"/>
        <v>2625</v>
      </c>
      <c r="U25" s="9">
        <f t="shared" si="1"/>
        <v>2750</v>
      </c>
      <c r="V25" s="75">
        <v>45261</v>
      </c>
      <c r="W25" s="75">
        <v>46203</v>
      </c>
    </row>
    <row r="26" spans="2:23" x14ac:dyDescent="0.25">
      <c r="G26" s="19"/>
      <c r="H26" s="31"/>
      <c r="J26" s="32"/>
      <c r="K26" s="31"/>
      <c r="M26" s="32"/>
      <c r="O26" s="25" t="s">
        <v>51</v>
      </c>
      <c r="P26" s="47"/>
      <c r="Q26" s="47"/>
      <c r="R26" s="79">
        <f>SUM(R14:R25)</f>
        <v>12085</v>
      </c>
      <c r="S26" s="76">
        <f>SUM(S14:S25)</f>
        <v>26530</v>
      </c>
      <c r="T26" s="48">
        <f>SUM(T14:T25)</f>
        <v>29365</v>
      </c>
      <c r="U26" s="48">
        <f>SUM(U14:U25)</f>
        <v>31050</v>
      </c>
      <c r="V26" s="12"/>
      <c r="W26" s="12"/>
    </row>
    <row r="27" spans="2:23" x14ac:dyDescent="0.25">
      <c r="G27" s="72" t="s">
        <v>53</v>
      </c>
      <c r="H27" s="74">
        <f>H12-H25</f>
        <v>212793.77000000002</v>
      </c>
      <c r="I27" s="42"/>
      <c r="J27" s="73"/>
      <c r="K27" s="74">
        <f>K12-K25</f>
        <v>261745.37</v>
      </c>
      <c r="L27" s="42"/>
      <c r="M27" s="82"/>
    </row>
    <row r="28" spans="2:23" x14ac:dyDescent="0.25">
      <c r="J28" s="81"/>
      <c r="M28" s="81"/>
    </row>
    <row r="29" spans="2:23" x14ac:dyDescent="0.25">
      <c r="J29" s="81"/>
      <c r="M29" s="81"/>
    </row>
    <row r="30" spans="2:23" x14ac:dyDescent="0.25">
      <c r="J30" s="81"/>
      <c r="M30" s="81"/>
    </row>
    <row r="31" spans="2:23" x14ac:dyDescent="0.25">
      <c r="J31" s="81"/>
      <c r="M31" s="81"/>
    </row>
    <row r="32" spans="2:23" x14ac:dyDescent="0.25">
      <c r="J32" s="81"/>
      <c r="M32" s="81"/>
    </row>
    <row r="33" spans="10:13" x14ac:dyDescent="0.25">
      <c r="J33" s="81"/>
      <c r="M33" s="81"/>
    </row>
  </sheetData>
  <pageMargins left="0.7" right="0.7" top="0.75" bottom="0.75" header="0.3" footer="0.3"/>
  <pageSetup orientation="portrait" horizontalDpi="1200" verticalDpi="1200" r:id="rId1"/>
  <ignoredErrors>
    <ignoredError sqref="J25" formula="1"/>
    <ignoredError sqref="H5:H7 H16 H25:H27 H8" evalError="1"/>
    <ignoredError sqref="P14:P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 Edwards</dc:creator>
  <cp:keywords/>
  <dc:description/>
  <cp:lastModifiedBy>Rich Edwards</cp:lastModifiedBy>
  <cp:revision/>
  <dcterms:created xsi:type="dcterms:W3CDTF">2024-04-24T15:29:57Z</dcterms:created>
  <dcterms:modified xsi:type="dcterms:W3CDTF">2026-05-19T15:52:44Z</dcterms:modified>
  <cp:category/>
  <cp:contentStatus/>
</cp:coreProperties>
</file>