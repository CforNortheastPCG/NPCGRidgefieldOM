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perun\NPCG Dropbox\Listings\Proposals - CT\RIDGEFIELD - 613 Main St\"/>
    </mc:Choice>
  </mc:AlternateContent>
  <xr:revisionPtr revIDLastSave="0" documentId="13_ncr:1_{43898821-F664-4A4C-BA83-8B0685EE45B8}" xr6:coauthVersionLast="47" xr6:coauthVersionMax="47" xr10:uidLastSave="{00000000-0000-0000-0000-000000000000}"/>
  <bookViews>
    <workbookView xWindow="28680" yWindow="-120" windowWidth="29040" windowHeight="15840" xr2:uid="{477F78E3-9F91-4080-A7DF-ED23F95E4EF8}"/>
  </bookViews>
  <sheets>
    <sheet name="Analysis" sheetId="1" r:id="rId1"/>
    <sheet name="2025 P&amp;L Given" sheetId="2" r:id="rId2"/>
    <sheet name="RR - Given" sheetId="3" r:id="rId3"/>
    <sheet name="Tax Analysis" sheetId="4" r:id="rId4"/>
    <sheet name="Sheet4" sheetId="5" r:id="rId5"/>
  </sheets>
  <externalReferences>
    <externalReference r:id="rId6"/>
    <externalReference r:id="rId7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W5" i="1"/>
  <c r="W6" i="1"/>
  <c r="W7" i="1"/>
  <c r="W8" i="1"/>
  <c r="W9" i="1"/>
  <c r="W10" i="1"/>
  <c r="V5" i="1"/>
  <c r="V6" i="1"/>
  <c r="V7" i="1"/>
  <c r="V8" i="1"/>
  <c r="V9" i="1"/>
  <c r="V10" i="1"/>
  <c r="U5" i="1"/>
  <c r="U6" i="1"/>
  <c r="U7" i="1"/>
  <c r="U8" i="1"/>
  <c r="U9" i="1"/>
  <c r="U10" i="1"/>
  <c r="T7" i="1"/>
  <c r="T8" i="1"/>
  <c r="T9" i="1"/>
  <c r="T5" i="1"/>
  <c r="T6" i="1"/>
  <c r="D50" i="5"/>
  <c r="D49" i="5"/>
  <c r="D48" i="5"/>
  <c r="F47" i="5"/>
  <c r="C54" i="5" s="1"/>
  <c r="C57" i="5" s="1"/>
  <c r="D43" i="5"/>
  <c r="C43" i="5"/>
  <c r="E42" i="5"/>
  <c r="F42" i="5" s="1"/>
  <c r="E41" i="5"/>
  <c r="F41" i="5" s="1"/>
  <c r="E40" i="5"/>
  <c r="E27" i="5"/>
  <c r="D27" i="5"/>
  <c r="E26" i="5"/>
  <c r="D26" i="5"/>
  <c r="E25" i="5"/>
  <c r="D25" i="5"/>
  <c r="E24" i="5"/>
  <c r="D24" i="5"/>
  <c r="C19" i="5"/>
  <c r="C18" i="5"/>
  <c r="E17" i="5"/>
  <c r="D17" i="5"/>
  <c r="E16" i="5"/>
  <c r="D16" i="5"/>
  <c r="T10" i="1"/>
  <c r="N23" i="1"/>
  <c r="H21" i="1"/>
  <c r="K21" i="1" s="1"/>
  <c r="O8" i="2"/>
  <c r="H16" i="1"/>
  <c r="K16" i="1" s="1"/>
  <c r="H17" i="1"/>
  <c r="K17" i="1" s="1"/>
  <c r="H22" i="1"/>
  <c r="H23" i="1"/>
  <c r="H20" i="1"/>
  <c r="K20" i="1" s="1"/>
  <c r="H19" i="1"/>
  <c r="K19" i="1" s="1"/>
  <c r="H18" i="1"/>
  <c r="K18" i="1" s="1"/>
  <c r="H9" i="1"/>
  <c r="C28" i="4"/>
  <c r="C24" i="4"/>
  <c r="C18" i="4"/>
  <c r="C20" i="4" s="1"/>
  <c r="C21" i="4" s="1"/>
  <c r="D15" i="4"/>
  <c r="C15" i="4"/>
  <c r="F14" i="4"/>
  <c r="E14" i="4"/>
  <c r="F13" i="4"/>
  <c r="E13" i="4"/>
  <c r="E12" i="4"/>
  <c r="F11" i="4"/>
  <c r="E11" i="4"/>
  <c r="F10" i="4"/>
  <c r="E10" i="4"/>
  <c r="E24" i="3"/>
  <c r="D24" i="3"/>
  <c r="C24" i="3"/>
  <c r="E23" i="3"/>
  <c r="D23" i="3"/>
  <c r="D25" i="3" s="1"/>
  <c r="C23" i="3"/>
  <c r="C25" i="3" s="1"/>
  <c r="J17" i="3"/>
  <c r="I16" i="3"/>
  <c r="I18" i="3" s="1"/>
  <c r="J15" i="3"/>
  <c r="J14" i="3"/>
  <c r="J13" i="3"/>
  <c r="J12" i="3"/>
  <c r="J11" i="3"/>
  <c r="J10" i="3"/>
  <c r="J9" i="3"/>
  <c r="J8" i="3"/>
  <c r="J7" i="3"/>
  <c r="J16" i="3" s="1"/>
  <c r="J18" i="3" s="1"/>
  <c r="N20" i="2"/>
  <c r="M20" i="2"/>
  <c r="L20" i="2"/>
  <c r="K20" i="2"/>
  <c r="J20" i="2"/>
  <c r="I20" i="2"/>
  <c r="H20" i="2"/>
  <c r="G20" i="2"/>
  <c r="F20" i="2"/>
  <c r="E20" i="2"/>
  <c r="D20" i="2"/>
  <c r="C20" i="2"/>
  <c r="O20" i="2" s="1"/>
  <c r="O19" i="2"/>
  <c r="O18" i="2"/>
  <c r="O17" i="2"/>
  <c r="O16" i="2"/>
  <c r="O15" i="2"/>
  <c r="O14" i="2"/>
  <c r="O13" i="2"/>
  <c r="N10" i="2"/>
  <c r="N21" i="2" s="1"/>
  <c r="M10" i="2"/>
  <c r="M21" i="2" s="1"/>
  <c r="L10" i="2"/>
  <c r="L21" i="2" s="1"/>
  <c r="K10" i="2"/>
  <c r="K21" i="2" s="1"/>
  <c r="J10" i="2"/>
  <c r="J21" i="2" s="1"/>
  <c r="I10" i="2"/>
  <c r="I21" i="2" s="1"/>
  <c r="H10" i="2"/>
  <c r="H21" i="2" s="1"/>
  <c r="G10" i="2"/>
  <c r="G21" i="2" s="1"/>
  <c r="F10" i="2"/>
  <c r="F21" i="2" s="1"/>
  <c r="E10" i="2"/>
  <c r="E21" i="2" s="1"/>
  <c r="D10" i="2"/>
  <c r="D21" i="2" s="1"/>
  <c r="C10" i="2"/>
  <c r="O9" i="2"/>
  <c r="E16" i="1"/>
  <c r="F50" i="5" l="1"/>
  <c r="C56" i="5" s="1"/>
  <c r="C59" i="5" s="1"/>
  <c r="C61" i="5" s="1"/>
  <c r="E50" i="5"/>
  <c r="F49" i="5"/>
  <c r="C55" i="5" s="1"/>
  <c r="C58" i="5" s="1"/>
  <c r="C60" i="5" s="1"/>
  <c r="E49" i="5"/>
  <c r="F48" i="5"/>
  <c r="E48" i="5"/>
  <c r="F40" i="5"/>
  <c r="F43" i="5" s="1"/>
  <c r="E43" i="5"/>
  <c r="E18" i="5"/>
  <c r="E19" i="5"/>
  <c r="D18" i="5"/>
  <c r="D19" i="5"/>
  <c r="C30" i="4"/>
  <c r="C25" i="4"/>
  <c r="C27" i="4" s="1"/>
  <c r="C29" i="4"/>
  <c r="F15" i="4"/>
  <c r="E15" i="4"/>
  <c r="E25" i="3"/>
  <c r="C21" i="2"/>
  <c r="O21" i="2" s="1"/>
  <c r="O10" i="2"/>
  <c r="K9" i="1"/>
  <c r="N21" i="1" l="1"/>
  <c r="N22" i="1"/>
  <c r="E61" i="1"/>
  <c r="E62" i="1" s="1"/>
  <c r="E59" i="1"/>
  <c r="N15" i="1"/>
  <c r="K15" i="1"/>
  <c r="E47" i="1"/>
  <c r="U12" i="1"/>
  <c r="X22" i="1"/>
  <c r="X23" i="1"/>
  <c r="X24" i="1"/>
  <c r="E2" i="1" l="1"/>
  <c r="X17" i="1"/>
  <c r="X18" i="1"/>
  <c r="X19" i="1"/>
  <c r="X20" i="1"/>
  <c r="X21" i="1"/>
  <c r="X16" i="1"/>
  <c r="N9" i="1"/>
  <c r="N20" i="1"/>
  <c r="N19" i="1"/>
  <c r="N18" i="1"/>
  <c r="N17" i="1"/>
  <c r="W4" i="1"/>
  <c r="V4" i="1"/>
  <c r="V12" i="1"/>
  <c r="K10" i="1" l="1"/>
  <c r="W24" i="1"/>
  <c r="W22" i="1"/>
  <c r="W23" i="1"/>
  <c r="W16" i="1"/>
  <c r="W17" i="1"/>
  <c r="W18" i="1"/>
  <c r="W20" i="1"/>
  <c r="W19" i="1"/>
  <c r="W21" i="1"/>
  <c r="U4" i="1"/>
  <c r="N10" i="1" l="1"/>
  <c r="E10" i="1"/>
  <c r="E17" i="1" s="1"/>
  <c r="T4" i="1"/>
  <c r="T11" i="1" l="1"/>
  <c r="X11" i="1"/>
  <c r="V11" i="1"/>
  <c r="K6" i="1" s="1"/>
  <c r="W11" i="1"/>
  <c r="N4" i="1" l="1"/>
  <c r="N6" i="1"/>
  <c r="K7" i="1"/>
  <c r="K8" i="1" s="1"/>
  <c r="K12" i="1" s="1"/>
  <c r="K4" i="1"/>
  <c r="K5" i="1" s="1"/>
  <c r="M5" i="1" s="1"/>
  <c r="W12" i="1"/>
  <c r="E26" i="1" s="1"/>
  <c r="H6" i="1"/>
  <c r="H7" i="1" s="1"/>
  <c r="N5" i="1" l="1"/>
  <c r="N7" i="1"/>
  <c r="N8" i="1" s="1"/>
  <c r="B31" i="1"/>
  <c r="B32" i="1" s="1"/>
  <c r="B33" i="1" s="1"/>
  <c r="B34" i="1" s="1"/>
  <c r="E11" i="1"/>
  <c r="V25" i="1"/>
  <c r="H8" i="1" s="1"/>
  <c r="W25" i="1"/>
  <c r="U25" i="1"/>
  <c r="E25" i="1"/>
  <c r="H10" i="1"/>
  <c r="I21" i="1" l="1"/>
  <c r="I22" i="1"/>
  <c r="L22" i="1"/>
  <c r="O21" i="1"/>
  <c r="O22" i="1"/>
  <c r="L21" i="1"/>
  <c r="O19" i="1"/>
  <c r="O23" i="1"/>
  <c r="O17" i="1"/>
  <c r="O18" i="1"/>
  <c r="O16" i="1"/>
  <c r="O20" i="1"/>
  <c r="O9" i="1"/>
  <c r="L19" i="1"/>
  <c r="L23" i="1"/>
  <c r="L20" i="1"/>
  <c r="L9" i="1"/>
  <c r="L18" i="1"/>
  <c r="L16" i="1"/>
  <c r="L17" i="1"/>
  <c r="K24" i="1"/>
  <c r="I9" i="1"/>
  <c r="E49" i="1"/>
  <c r="E52" i="1" s="1"/>
  <c r="I18" i="1"/>
  <c r="I20" i="1"/>
  <c r="I16" i="1"/>
  <c r="I19" i="1"/>
  <c r="I17" i="1"/>
  <c r="I23" i="1"/>
  <c r="E15" i="1"/>
  <c r="H4" i="1"/>
  <c r="O10" i="1" l="1"/>
  <c r="L24" i="1"/>
  <c r="M24" i="1"/>
  <c r="K26" i="1"/>
  <c r="K33" i="1" s="1"/>
  <c r="E23" i="1" s="1"/>
  <c r="L10" i="1"/>
  <c r="I10" i="1"/>
  <c r="H5" i="1"/>
  <c r="J5" i="1" s="1"/>
  <c r="E19" i="1" l="1"/>
  <c r="E43" i="1"/>
  <c r="E40" i="1"/>
  <c r="E30" i="1"/>
  <c r="E34" i="1"/>
  <c r="E32" i="1"/>
  <c r="E31" i="1"/>
  <c r="E33" i="1"/>
  <c r="N12" i="1"/>
  <c r="P5" i="1"/>
  <c r="K28" i="1" l="1"/>
  <c r="E45" i="1" s="1"/>
  <c r="N28" i="1"/>
  <c r="N24" i="1" l="1"/>
  <c r="O24" i="1"/>
  <c r="P24" i="1" l="1"/>
  <c r="N26" i="1"/>
  <c r="E20" i="1" l="1"/>
  <c r="N33" i="1"/>
  <c r="E24" i="1" s="1"/>
  <c r="E42" i="1"/>
  <c r="E51" i="1" s="1"/>
  <c r="E44" i="1"/>
  <c r="C34" i="1"/>
  <c r="D34" i="1"/>
  <c r="C31" i="1"/>
  <c r="D31" i="1"/>
  <c r="C33" i="1"/>
  <c r="D33" i="1"/>
  <c r="C32" i="1"/>
  <c r="D32" i="1"/>
  <c r="C30" i="1"/>
  <c r="D30" i="1"/>
  <c r="N30" i="1" l="1"/>
  <c r="N32" i="1" s="1"/>
  <c r="E22" i="1" s="1"/>
  <c r="I24" i="1"/>
  <c r="H24" i="1"/>
  <c r="X25" i="1" l="1"/>
  <c r="X12" i="1"/>
  <c r="E27" i="1" s="1"/>
  <c r="K30" i="1" l="1"/>
  <c r="K32" i="1" s="1"/>
  <c r="E21" i="1" l="1"/>
  <c r="H12" i="1" l="1"/>
  <c r="J24" i="1" l="1"/>
  <c r="H26" i="1"/>
  <c r="E18" i="1" s="1"/>
</calcChain>
</file>

<file path=xl/sharedStrings.xml><?xml version="1.0" encoding="utf-8"?>
<sst xmlns="http://schemas.openxmlformats.org/spreadsheetml/2006/main" count="436" uniqueCount="325">
  <si>
    <t>Analysis Date</t>
  </si>
  <si>
    <t>Operating Income</t>
  </si>
  <si>
    <t>Unit Mix</t>
  </si>
  <si>
    <t>Analysis By</t>
  </si>
  <si>
    <t>INSERT</t>
  </si>
  <si>
    <t>Income</t>
  </si>
  <si>
    <t>Trailing 12</t>
  </si>
  <si>
    <t>$/Unit</t>
  </si>
  <si>
    <t>%</t>
  </si>
  <si>
    <t>Pro Forma</t>
  </si>
  <si>
    <t>Unit Type</t>
  </si>
  <si>
    <t># of Units</t>
  </si>
  <si>
    <t>SF</t>
  </si>
  <si>
    <t>Current Rent</t>
  </si>
  <si>
    <t>High Achieved Rent</t>
  </si>
  <si>
    <t>Property Information</t>
  </si>
  <si>
    <t>Gross Potential Rent</t>
  </si>
  <si>
    <t>Property Name</t>
  </si>
  <si>
    <t>Below Market Rent</t>
  </si>
  <si>
    <t>Address</t>
  </si>
  <si>
    <t>Gross Scheduled Rent</t>
  </si>
  <si>
    <t>City/State/Zip</t>
  </si>
  <si>
    <t>Vacancy &amp; Collections Loss</t>
  </si>
  <si>
    <t>Year Built</t>
  </si>
  <si>
    <t>Effective Rental Income</t>
  </si>
  <si>
    <t>Rentable SF</t>
  </si>
  <si>
    <t>Units</t>
  </si>
  <si>
    <t>Lot Size (Acres)</t>
  </si>
  <si>
    <t>Investment Information</t>
  </si>
  <si>
    <t>Purchase Price</t>
  </si>
  <si>
    <t>Annual Total</t>
  </si>
  <si>
    <t>Price/Unit</t>
  </si>
  <si>
    <t>Average</t>
  </si>
  <si>
    <t>Price/SF</t>
  </si>
  <si>
    <t>Cap Rate - T12</t>
  </si>
  <si>
    <t>Rent Roll</t>
  </si>
  <si>
    <t>Total Additional Income</t>
  </si>
  <si>
    <t>Property</t>
  </si>
  <si>
    <t>Unit #</t>
  </si>
  <si>
    <t>Lease Start</t>
  </si>
  <si>
    <t>Lease End</t>
  </si>
  <si>
    <t>Effective Gross Income</t>
  </si>
  <si>
    <t>Average Rent - Current</t>
  </si>
  <si>
    <t>Operating Expense</t>
  </si>
  <si>
    <t>Average High Achieved Rent</t>
  </si>
  <si>
    <t>Expense</t>
  </si>
  <si>
    <t>Average Rent - Pro Forma</t>
  </si>
  <si>
    <t>Trade Range</t>
  </si>
  <si>
    <t>Real Estate Tax</t>
  </si>
  <si>
    <t>Cap Rate</t>
  </si>
  <si>
    <t>Sales Price</t>
  </si>
  <si>
    <t>Property Insurance</t>
  </si>
  <si>
    <t>Trash Removal</t>
  </si>
  <si>
    <t>Monthly Total</t>
  </si>
  <si>
    <t>Debt Assumptions</t>
  </si>
  <si>
    <t>LTV Bound</t>
  </si>
  <si>
    <t>DSCR Bound</t>
  </si>
  <si>
    <t>Interest Rate</t>
  </si>
  <si>
    <t>Total Expense</t>
  </si>
  <si>
    <t>Amortization (Years)</t>
  </si>
  <si>
    <t>Annual Debt Service</t>
  </si>
  <si>
    <t>Net Operating Income</t>
  </si>
  <si>
    <t>Debt Service</t>
  </si>
  <si>
    <t>Cashflow after Debt Service</t>
  </si>
  <si>
    <t>Down PMT</t>
  </si>
  <si>
    <t>Loan Value</t>
  </si>
  <si>
    <t>Actual LTV</t>
  </si>
  <si>
    <t>Actual DSCR</t>
  </si>
  <si>
    <t>Closing Costs</t>
  </si>
  <si>
    <t>Capex</t>
  </si>
  <si>
    <t>Renovation</t>
  </si>
  <si>
    <t>Capital Reserve</t>
  </si>
  <si>
    <t>Total Cash In</t>
  </si>
  <si>
    <t>Total Project Cost</t>
  </si>
  <si>
    <t>Cash on Cash</t>
  </si>
  <si>
    <t>UYOC</t>
  </si>
  <si>
    <t>Tax Info</t>
  </si>
  <si>
    <t>Mill Rate</t>
  </si>
  <si>
    <t>Reval Year</t>
  </si>
  <si>
    <t>Marketing</t>
  </si>
  <si>
    <t>Current Assessment</t>
  </si>
  <si>
    <t>Current FMV</t>
  </si>
  <si>
    <t>Exemption?</t>
  </si>
  <si>
    <t>Current Taxes</t>
  </si>
  <si>
    <t>Net Assessment</t>
  </si>
  <si>
    <t>Building SF</t>
  </si>
  <si>
    <t>Price/RSF</t>
  </si>
  <si>
    <t>UYOC - Current/Year 1</t>
  </si>
  <si>
    <t xml:space="preserve">UYOC - Pro Forma </t>
  </si>
  <si>
    <t>Cash-on-Cash - Current/Year 1</t>
  </si>
  <si>
    <t xml:space="preserve">Cash-on-Cash - Pro Forma </t>
  </si>
  <si>
    <t>Cap Rate - Current/Year 1</t>
  </si>
  <si>
    <t xml:space="preserve">Cap Rate - Pro Forma </t>
  </si>
  <si>
    <t>NORTHEAST PRIVATE CLIENT GROUP</t>
  </si>
  <si>
    <t>Profit &amp; Loss Statement</t>
  </si>
  <si>
    <t>613 Main Street, Ridgefield, CT  |  Trailing 12 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</si>
  <si>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</si>
  <si>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</si>
  <si>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</si>
  <si>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</si>
  <si>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</si>
  <si>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</si>
  <si>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</si>
  <si>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</si>
  <si>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</si>
  <si>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</si>
  <si>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</si>
  <si>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</si>
  <si>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</si>
  <si>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 xml:space="preserve">  INCOME</t>
  </si>
  <si>
    <t>Rent</t>
  </si>
  <si>
    <t>RE Taxes</t>
  </si>
  <si>
    <t xml:space="preserve">  OPERATING EXPENSES</t>
  </si>
  <si>
    <t>Sewer</t>
  </si>
  <si>
    <t>Water</t>
  </si>
  <si>
    <t>Insurance</t>
  </si>
  <si>
    <t>Lawn</t>
  </si>
  <si>
    <t>Snow</t>
  </si>
  <si>
    <t>Refuse</t>
  </si>
  <si>
    <t>Alarm</t>
  </si>
  <si>
    <t>Total Operating Expenses</t>
  </si>
  <si>
    <t>NET OPERATING INCOME</t>
  </si>
  <si>
    <t>613 Main Street, Ridgefield, CT  |  As of 05/27/2026</t>
  </si>
  <si>
    <t>Tenant</t>
  </si>
  <si>
    <t>Unit</t>
  </si>
  <si>
    <t>Classification</t>
  </si>
  <si>
    <t>Rent Type</t>
  </si>
  <si>
    <t>Monthly Rent</t>
  </si>
  <si>
    <t>Annual Rent</t>
  </si>
  <si>
    <t>Notes</t>
  </si>
  <si>
    <t>Edward McCarthy</t>
  </si>
  <si>
    <t>613 Main Street - A1</t>
  </si>
  <si>
    <t>Market</t>
  </si>
  <si>
    <t>Fixed</t>
  </si>
  <si>
    <t>Min Yang</t>
  </si>
  <si>
    <t>613 Main Street - A2</t>
  </si>
  <si>
    <t>Caroline Albano, Thomas Starkey</t>
  </si>
  <si>
    <t>613 Main Street - A3</t>
  </si>
  <si>
    <t>Affordable</t>
  </si>
  <si>
    <t>Robert Wright</t>
  </si>
  <si>
    <t>613 Main Street - B1</t>
  </si>
  <si>
    <t>Nicholas Kiger</t>
  </si>
  <si>
    <t>613 Main Street - B2</t>
  </si>
  <si>
    <t>Darrell Alfieri</t>
  </si>
  <si>
    <t>613 Main Street - B3</t>
  </si>
  <si>
    <t>Sherrie Ellis</t>
  </si>
  <si>
    <t>613 Main Street - C1</t>
  </si>
  <si>
    <t>Daniel McGerald</t>
  </si>
  <si>
    <t>613 Main Street - C2</t>
  </si>
  <si>
    <t>Mary Hafter</t>
  </si>
  <si>
    <t>613 Main Street - C3</t>
  </si>
  <si>
    <t>Subtotal — Base Rent</t>
  </si>
  <si>
    <t>Utility Fee</t>
  </si>
  <si>
    <t>TOTAL GROSS RENT</t>
  </si>
  <si>
    <t xml:space="preserve">  UNIT MIX SUMMARY</t>
  </si>
  <si>
    <t>Unit Count</t>
  </si>
  <si>
    <t>Avg Rent / Unit</t>
  </si>
  <si>
    <t>Market Units</t>
  </si>
  <si>
    <t>Affordable Units</t>
  </si>
  <si>
    <t>Total</t>
  </si>
  <si>
    <t>Highlighted rows = Affordable units</t>
  </si>
  <si>
    <t>Source: Owner-provided lease export, 05/27/2026</t>
  </si>
  <si>
    <t>Real Estate Tax Analysis</t>
  </si>
  <si>
    <t>613 Main Street, Ridgefield, CT  |  Town of Ridgefield</t>
  </si>
  <si>
    <t xml:space="preserve">  TAX BILL COMPARISON (2-YEAR)</t>
  </si>
  <si>
    <t>FY2024 Bill</t>
  </si>
  <si>
    <t>FY2025 Bill</t>
  </si>
  <si>
    <t>Δ ($)</t>
  </si>
  <si>
    <t>Δ (%)</t>
  </si>
  <si>
    <t>Grand List Year</t>
  </si>
  <si>
    <t>2023 GL</t>
  </si>
  <si>
    <t>2024 GL</t>
  </si>
  <si>
    <t>—</t>
  </si>
  <si>
    <t>Bill Year</t>
  </si>
  <si>
    <t>2024</t>
  </si>
  <si>
    <t>2025</t>
  </si>
  <si>
    <t>Gross Assessment</t>
  </si>
  <si>
    <t>Exemption</t>
  </si>
  <si>
    <t>Total Tax Due</t>
  </si>
  <si>
    <t>Quarterly Payment</t>
  </si>
  <si>
    <t xml:space="preserve">  IMPLIED MARKET VALUATION (CT 70% RATIO)</t>
  </si>
  <si>
    <t>Net Assessment (FY25)</t>
  </si>
  <si>
    <t>Per tax bill</t>
  </si>
  <si>
    <t>CT Assessment Ratio</t>
  </si>
  <si>
    <t>CGS §12-62a</t>
  </si>
  <si>
    <t>Implied Fair Market Value</t>
  </si>
  <si>
    <t>Assessment ÷ ratio</t>
  </si>
  <si>
    <t>Per-Unit Implied Value</t>
  </si>
  <si>
    <t>9 units</t>
  </si>
  <si>
    <t xml:space="preserve">  TAX BURDEN &amp; ESCROW ANALYSIS</t>
  </si>
  <si>
    <t>Annual Tax Liability (FY25)</t>
  </si>
  <si>
    <t>Monthly Tax Escrow</t>
  </si>
  <si>
    <t>Recommended reserve</t>
  </si>
  <si>
    <t>P&amp;L Reported Monthly Tax</t>
  </si>
  <si>
    <t>From owner P&amp;L</t>
  </si>
  <si>
    <t>Variance vs Actual (Monthly)</t>
  </si>
  <si>
    <t>Positive = underfunded</t>
  </si>
  <si>
    <t>Annual Gross Rent</t>
  </si>
  <si>
    <t>From P&amp;L</t>
  </si>
  <si>
    <t>Tax as % of Gross Rent</t>
  </si>
  <si>
    <t>Higher = more tax-burdened</t>
  </si>
  <si>
    <t>Tax per Unit (Annual)</t>
  </si>
  <si>
    <t xml:space="preserve">  NOTES &amp; SOURCES</t>
  </si>
  <si>
    <t>• Ridgefield, CT operates on July 1 – June 30 fiscal year; tax bills issued July, payable quarterly (Jul/Oct/Jan/Apr).</t>
  </si>
  <si>
    <t>• Mill rate increased from 26.35 to 27.39 (+3.9%); assessment held flat year-over-year.</t>
  </si>
  <si>
    <t>• Connecticut statute (CGS §12-62a) mandates assessments at 70% of fair market value.</t>
  </si>
  <si>
    <t>• Next municipal revaluation may adjust assessed value upward — model sensitivity in projections.</t>
  </si>
  <si>
    <t>• Sources: Town of Ridgefield Real Estate Tax Bills, 2023 GL and 2024 GL.</t>
  </si>
  <si>
    <t xml:space="preserve">613 Main Street </t>
  </si>
  <si>
    <t>A1</t>
  </si>
  <si>
    <t>A2</t>
  </si>
  <si>
    <t>B1</t>
  </si>
  <si>
    <t>B2</t>
  </si>
  <si>
    <t>B3</t>
  </si>
  <si>
    <t>C3</t>
  </si>
  <si>
    <t>613 Main Street</t>
  </si>
  <si>
    <t>2/1.5 TH w. Garage</t>
  </si>
  <si>
    <t>2/1.5 TH w. Basement</t>
  </si>
  <si>
    <t>Utility Bill Back</t>
  </si>
  <si>
    <t>2/1.00</t>
  </si>
  <si>
    <t>A3 - Affordable</t>
  </si>
  <si>
    <t>C1 - Affordable</t>
  </si>
  <si>
    <t>C2 - Affordable</t>
  </si>
  <si>
    <t>Landscaping</t>
  </si>
  <si>
    <t>Snow Removal</t>
  </si>
  <si>
    <t>Ridgefield, CT, 06877</t>
  </si>
  <si>
    <t>2/1.50</t>
  </si>
  <si>
    <t>Alarm Monitoring</t>
  </si>
  <si>
    <t>`</t>
  </si>
  <si>
    <t>Affordability Analysis</t>
  </si>
  <si>
    <t>613 Main Street, Ridgefield, CT  |  8-30g Set-Aside Restrictions</t>
  </si>
  <si>
    <t xml:space="preserve">  DEED RESTRICTION SUMMARY (PER OWNER)</t>
  </si>
  <si>
    <t>Restriction Source</t>
  </si>
  <si>
    <t>CGS §8-30g — Set-Aside Development</t>
  </si>
  <si>
    <t>Required Affordable %</t>
  </si>
  <si>
    <t>30% of units (3 of 9)</t>
  </si>
  <si>
    <t>Income Tier Breakdown</t>
  </si>
  <si>
    <t>2 units @ 60% of SMI/AMI (lesser)  |  1 unit @ 80% of SMI/AMI (lesser)</t>
  </si>
  <si>
    <t>Governing Standard</t>
  </si>
  <si>
    <t>Lesser of CT State Median Income (SMI) or Stamford-Norwalk HUD AMI</t>
  </si>
  <si>
    <t>Practical Result</t>
  </si>
  <si>
    <t>SMI has always been lower — SMI controls</t>
  </si>
  <si>
    <t>Restriction Term</t>
  </si>
  <si>
    <t>40 years (per CGS §8-30g)</t>
  </si>
  <si>
    <t xml:space="preserve">  INCOME BASIS: SMI vs. AMI (2025, 4-PERSON HH)</t>
  </si>
  <si>
    <t>Standard</t>
  </si>
  <si>
    <t>100% (4P)</t>
  </si>
  <si>
    <t>80% (4P)</t>
  </si>
  <si>
    <t>60% (4P)</t>
  </si>
  <si>
    <t>CT State Median Income (SMI)</t>
  </si>
  <si>
    <t>Source: HUD FY2025 / UCONN CLEAR</t>
  </si>
  <si>
    <t>Stamford-Norwalk HUD AMI</t>
  </si>
  <si>
    <t>Source: Stamford 2025 BMR schedule</t>
  </si>
  <si>
    <t>Delta (AMI - SMI)</t>
  </si>
  <si>
    <t>AMI is materially higher</t>
  </si>
  <si>
    <t>Delta %</t>
  </si>
  <si>
    <t>AMI ~97% higher than SMI</t>
  </si>
  <si>
    <t xml:space="preserve">  MAX GROSS RENT BY BEDROOM - CURRENT 8-30g (SMI BASIS)</t>
  </si>
  <si>
    <t>Bedroom Size</t>
  </si>
  <si>
    <t>Assumed HH</t>
  </si>
  <si>
    <t>80% SMI Rent</t>
  </si>
  <si>
    <t>60% SMI Rent</t>
  </si>
  <si>
    <t>Source</t>
  </si>
  <si>
    <t>Studio</t>
  </si>
  <si>
    <t>1P factor 0.70</t>
  </si>
  <si>
    <t>1 Bedroom</t>
  </si>
  <si>
    <t>Avg 1P/2P = 0.75</t>
  </si>
  <si>
    <t>2 Bedroom</t>
  </si>
  <si>
    <t>3P factor 0.90</t>
  </si>
  <si>
    <t>3 Bedroom</t>
  </si>
  <si>
    <t>Avg 4P/5P = 1.04</t>
  </si>
  <si>
    <t>Rent = 30% x Income / 12. HUD HH-size factors: 1P=0.70, 2P=0.80, 3P=0.90, 4P=1.00, 5P=1.08</t>
  </si>
  <si>
    <t xml:space="preserve">  MAX GROSS RENT BY BEDROOM - STAMFORD-NORWALK AMI (NEW TOWN REG)</t>
  </si>
  <si>
    <t>80% AMI Rent</t>
  </si>
  <si>
    <t>60% AMI Rent</t>
  </si>
  <si>
    <t>50% AMI Rent</t>
  </si>
  <si>
    <t>Stamford 2025 BMR schedule</t>
  </si>
  <si>
    <t>Owner-cited ~$2.5K confirmed</t>
  </si>
  <si>
    <t>Note: New town inclusionary reg applies to NEW developments only. Existing 8-30g restrictions retain SMI basis until release.</t>
  </si>
  <si>
    <t xml:space="preserve">  CURRENT AFFORDABLE UNIT ANALYSIS - GAP TO MARKET</t>
  </si>
  <si>
    <t>Mkt Comp</t>
  </si>
  <si>
    <t>Gap to Market</t>
  </si>
  <si>
    <t>Annual Gap</t>
  </si>
  <si>
    <t>A3 (Albano/Starkey)</t>
  </si>
  <si>
    <t>60% tier</t>
  </si>
  <si>
    <t>C1 (Sherrie Ellis)</t>
  </si>
  <si>
    <t>80% tier</t>
  </si>
  <si>
    <t>C2 (Daniel McGerald)</t>
  </si>
  <si>
    <t>TOTAL</t>
  </si>
  <si>
    <t>3 of 9 units</t>
  </si>
  <si>
    <t xml:space="preserve">  STABILIZED RENT SCENARIOS</t>
  </si>
  <si>
    <t>Scenario</t>
  </si>
  <si>
    <t>Affordable Rent Basis</t>
  </si>
  <si>
    <t>Delta vs Current</t>
  </si>
  <si>
    <t>Implied NOI</t>
  </si>
  <si>
    <t>Current (As-Is)</t>
  </si>
  <si>
    <t>Per existing leases</t>
  </si>
  <si>
    <t>Mark Affordables to 80% SMI</t>
  </si>
  <si>
    <t>All 3 ~ $1,650</t>
  </si>
  <si>
    <t>Mark Affordables to 80% AMI</t>
  </si>
  <si>
    <t>All 3 ~ $2,437</t>
  </si>
  <si>
    <t>All Market (Restrictions Off)</t>
  </si>
  <si>
    <t>Market rate, 9 units</t>
  </si>
  <si>
    <t xml:space="preserve">  IMPLIED VALUATION @ 7.0% CAP</t>
  </si>
  <si>
    <t>Cap Rate Assumption</t>
  </si>
  <si>
    <t>Current NOI (As-Is)</t>
  </si>
  <si>
    <t>Stabilized NOI - 80% AMI Basis</t>
  </si>
  <si>
    <t>Stabilized NOI - Unrestricted (All Mkt)</t>
  </si>
  <si>
    <t>Current Value @ Cap</t>
  </si>
  <si>
    <t>Stabilized Value - 80% AMI</t>
  </si>
  <si>
    <t>Stabilized Value - Unrestricted</t>
  </si>
  <si>
    <t>Upside vs As-Is - 80% AMI</t>
  </si>
  <si>
    <t>Upside vs As-Is - Unrestricted</t>
  </si>
  <si>
    <t xml:space="preserve">  KEY CAVEATS &amp; SOURCES</t>
  </si>
  <si>
    <t>- 8-30g restrictions run 40 years from initial deed restriction date - verify recording date for expiration timeline.</t>
  </si>
  <si>
    <t>- Existing units are restricted to the LESSER of SMI or AMI; SMI has historically been (and remains) materially lower.</t>
  </si>
  <si>
    <t>- Ridgefield's new inclusionary zoning reg uses 80% AMI as the standard, but applies ONLY to new developments - existing 8-30g restrictions retain their original basis.</t>
  </si>
  <si>
    <t>- "Restrictions off" scenario is theoretical absent a release of the 8-30g declaration; not achievable in normal hold period.</t>
  </si>
  <si>
    <t>- Market comp rent ($2,895) reflects average of in-place market units (B1, B2). Top of market is $3,350 (B3, 2025 lease).</t>
  </si>
  <si>
    <t>- Rent caps are GROSS (include utility allowance); tenant-paid utilities effectively reduce collected rent under both standards.</t>
  </si>
  <si>
    <t>- Sources: CGS Sec. 8-30g; HUD FY2025 Income Limits; UCONN CLEAR (CT SMI $91,665); Stamford 2025 BMR Income &amp; Rent Schedule.</t>
  </si>
  <si>
    <t>2/1.00 - 60%</t>
  </si>
  <si>
    <t>2/1.5 TH w. Basement - 80%</t>
  </si>
  <si>
    <t>2/1.5 TH w. Basement - 60%</t>
  </si>
  <si>
    <t>T. Perun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</si>
</sst>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_(* #,##0.00\x;_(* \(#,##0.00\)\x;_(* &quot;   -&quot;?_)"/>
    <numFmt numFmtId="167" formatCode="&quot;$&quot;#,##0.00"/>
    <numFmt numFmtId="168" formatCode="#,##0;\(#,##0\);\-"/>
    <numFmt numFmtId="169" formatCode="\$#,##0;&quot;($&quot;#,##0\);\-"/>
    <numFmt numFmtId="170" formatCode="mm/dd/yyyy"/>
    <numFmt numFmtId="171" formatCode="\$#,##0"/>
    <numFmt numFmtId="172" formatCode="0.0000"/>
    <numFmt numFmtId="173" formatCode="\+0.0000;\-0.0000"/>
    <numFmt numFmtId="174" formatCode="\+0.0%;\-0.0%"/>
    <numFmt numFmtId="175" formatCode="\+0.0%;\-0.0%;\-"/>
    <numFmt numFmtId="176" formatCode="\$#,##0.00"/>
    <numFmt numFmtId="177" formatCode="\$#,##0.00;&quot;($&quot;#,##0.00\);\-"/>
    <numFmt numFmtId="178" formatCode="0.0%"/>
    <numFmt numFmtId="179" formatCode="0.0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theme="0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0.5"/>
      <name val="Aptos Narrow"/>
      <family val="2"/>
      <scheme val="minor"/>
    </font>
    <font>
      <sz val="10.5"/>
      <color rgb="FF0070C0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b/>
      <u/>
      <sz val="10.5"/>
      <color rgb="FFF8981C"/>
      <name val="Aptos Narrow"/>
      <family val="2"/>
      <scheme val="minor"/>
    </font>
    <font>
      <b/>
      <u/>
      <sz val="10.5"/>
      <color theme="1"/>
      <name val="Aptos Narrow"/>
      <family val="2"/>
      <scheme val="minor"/>
    </font>
    <font>
      <sz val="10.5"/>
      <name val="Aptos Narrow"/>
      <family val="2"/>
      <scheme val="minor"/>
    </font>
    <font>
      <b/>
      <sz val="10.5"/>
      <color rgb="FF0070C0"/>
      <name val="Aptos Narrow"/>
      <family val="2"/>
      <scheme val="minor"/>
    </font>
    <font>
      <sz val="10.5"/>
      <color theme="0"/>
      <name val="Aptos Narrow"/>
      <family val="2"/>
      <scheme val="minor"/>
    </font>
    <font>
      <sz val="11"/>
      <color theme="1"/>
      <name val="Lato"/>
      <family val="2"/>
    </font>
    <font>
      <b/>
      <sz val="11"/>
      <color rgb="FFFFFFFF"/>
      <name val="Arial"/>
      <charset val="1"/>
    </font>
    <font>
      <b/>
      <sz val="18"/>
      <color rgb="FF0E2A47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E2A47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sz val="10"/>
      <color rgb="FF0E2A47"/>
      <name val="Arial"/>
      <charset val="1"/>
    </font>
    <font>
      <sz val="9"/>
      <color rgb="FF404040"/>
      <name val="Arial"/>
      <charset val="1"/>
    </font>
    <font>
      <b/>
      <sz val="10"/>
      <name val="Arial"/>
      <charset val="1"/>
    </font>
    <font>
      <i/>
      <sz val="9"/>
      <color rgb="FFB85C00"/>
      <name val="Arial"/>
      <charset val="1"/>
    </font>
    <font>
      <i/>
      <sz val="10"/>
      <name val="Arial"/>
      <charset val="1"/>
    </font>
    <font>
      <sz val="10"/>
      <color rgb="FF006100"/>
      <name val="Arial"/>
      <charset val="1"/>
    </font>
    <font>
      <b/>
      <sz val="10"/>
      <color rgb="FF006100"/>
      <name val="Arial"/>
      <charset val="1"/>
    </font>
    <font>
      <b/>
      <sz val="10"/>
      <color rgb="FF0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3F4753"/>
        <bgColor indexed="64"/>
      </patternFill>
    </fill>
    <fill>
      <patternFill patternType="solid">
        <fgColor rgb="FFDCD7D2"/>
        <bgColor indexed="64"/>
      </patternFill>
    </fill>
    <fill>
      <patternFill patternType="solid">
        <fgColor rgb="FFB2A8A0"/>
        <bgColor indexed="64"/>
      </patternFill>
    </fill>
    <fill>
      <patternFill patternType="solid">
        <fgColor rgb="FFF8981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E2A47"/>
        <bgColor rgb="FF003300"/>
      </patternFill>
    </fill>
    <fill>
      <patternFill patternType="solid">
        <fgColor rgb="FFF7941D"/>
        <bgColor rgb="FFFF8080"/>
      </patternFill>
    </fill>
    <fill>
      <patternFill patternType="solid">
        <fgColor rgb="FFFDE9CD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44" fontId="1" fillId="0" borderId="0" applyFont="0" applyFill="0" applyBorder="0" applyAlignment="0" applyProtection="0"/>
  </cellStyleXfs>
  <cellXfs count="189">
    <xf numFmtId="0" fontId="0" fillId="0" borderId="0" xfId="0"/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10" fontId="8" fillId="6" borderId="1" xfId="2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4" fontId="5" fillId="6" borderId="4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6" fillId="6" borderId="2" xfId="0" applyFont="1" applyFill="1" applyBorder="1" applyAlignment="1">
      <alignment horizontal="right" vertical="center"/>
    </xf>
    <xf numFmtId="0" fontId="3" fillId="6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10" fontId="5" fillId="6" borderId="0" xfId="2" applyNumberFormat="1" applyFont="1" applyFill="1" applyAlignment="1">
      <alignment horizontal="left" vertical="center"/>
    </xf>
    <xf numFmtId="10" fontId="9" fillId="6" borderId="0" xfId="2" applyNumberFormat="1" applyFont="1" applyFill="1" applyAlignment="1">
      <alignment horizontal="left" vertical="center"/>
    </xf>
    <xf numFmtId="0" fontId="6" fillId="4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0" fontId="2" fillId="2" borderId="0" xfId="2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10" fontId="3" fillId="6" borderId="1" xfId="2" applyNumberFormat="1" applyFont="1" applyFill="1" applyBorder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0" fontId="3" fillId="4" borderId="1" xfId="2" applyNumberFormat="1" applyFont="1" applyFill="1" applyBorder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0" fontId="9" fillId="4" borderId="1" xfId="2" applyNumberFormat="1" applyFont="1" applyFill="1" applyBorder="1" applyAlignment="1">
      <alignment horizontal="center" vertical="center"/>
    </xf>
    <xf numFmtId="10" fontId="5" fillId="6" borderId="1" xfId="2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0" fontId="3" fillId="6" borderId="0" xfId="2" applyNumberFormat="1" applyFont="1" applyFill="1" applyAlignment="1">
      <alignment horizontal="center" vertical="center"/>
    </xf>
    <xf numFmtId="164" fontId="9" fillId="6" borderId="4" xfId="0" applyNumberFormat="1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right" vertical="center"/>
    </xf>
    <xf numFmtId="0" fontId="10" fillId="4" borderId="0" xfId="0" applyFont="1" applyFill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64" fontId="6" fillId="3" borderId="4" xfId="0" applyNumberFormat="1" applyFont="1" applyFill="1" applyBorder="1" applyAlignment="1">
      <alignment horizontal="center" vertical="center"/>
    </xf>
    <xf numFmtId="0" fontId="3" fillId="6" borderId="0" xfId="1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3" fontId="3" fillId="6" borderId="0" xfId="0" applyNumberFormat="1" applyFont="1" applyFill="1" applyAlignment="1">
      <alignment horizontal="center" vertical="center"/>
    </xf>
    <xf numFmtId="3" fontId="11" fillId="2" borderId="0" xfId="0" applyNumberFormat="1" applyFont="1" applyFill="1" applyAlignment="1">
      <alignment horizontal="center" vertical="center"/>
    </xf>
    <xf numFmtId="3" fontId="6" fillId="6" borderId="2" xfId="0" applyNumberFormat="1" applyFont="1" applyFill="1" applyBorder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10" fillId="6" borderId="2" xfId="0" applyNumberFormat="1" applyFont="1" applyFill="1" applyBorder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0" fontId="3" fillId="6" borderId="0" xfId="2" applyNumberFormat="1" applyFont="1" applyFill="1" applyAlignment="1">
      <alignment horizontal="right" vertical="center"/>
    </xf>
    <xf numFmtId="10" fontId="3" fillId="6" borderId="3" xfId="2" applyNumberFormat="1" applyFont="1" applyFill="1" applyBorder="1" applyAlignment="1">
      <alignment horizontal="right" vertical="center"/>
    </xf>
    <xf numFmtId="164" fontId="3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165" fontId="3" fillId="6" borderId="0" xfId="1" applyNumberFormat="1" applyFont="1" applyFill="1" applyAlignment="1">
      <alignment horizontal="right" vertical="center"/>
    </xf>
    <xf numFmtId="165" fontId="9" fillId="6" borderId="0" xfId="1" applyNumberFormat="1" applyFont="1" applyFill="1" applyBorder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64" fontId="3" fillId="6" borderId="3" xfId="0" applyNumberFormat="1" applyFont="1" applyFill="1" applyBorder="1" applyAlignment="1">
      <alignment horizontal="right" vertical="center"/>
    </xf>
    <xf numFmtId="164" fontId="5" fillId="4" borderId="0" xfId="0" applyNumberFormat="1" applyFont="1" applyFill="1" applyAlignment="1">
      <alignment horizontal="center" vertical="center"/>
    </xf>
    <xf numFmtId="14" fontId="10" fillId="3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right" vertical="center"/>
    </xf>
    <xf numFmtId="9" fontId="5" fillId="6" borderId="0" xfId="2" applyFont="1" applyFill="1" applyAlignment="1">
      <alignment horizontal="right" vertical="center"/>
    </xf>
    <xf numFmtId="166" fontId="5" fillId="0" borderId="0" xfId="3" applyNumberFormat="1" applyFont="1" applyAlignment="1">
      <alignment horizontal="right"/>
    </xf>
    <xf numFmtId="10" fontId="3" fillId="6" borderId="0" xfId="0" applyNumberFormat="1" applyFont="1" applyFill="1" applyAlignment="1">
      <alignment horizontal="right" vertical="center"/>
    </xf>
    <xf numFmtId="0" fontId="6" fillId="5" borderId="0" xfId="0" applyFont="1" applyFill="1" applyAlignment="1">
      <alignment vertical="center"/>
    </xf>
    <xf numFmtId="10" fontId="3" fillId="5" borderId="0" xfId="2" applyNumberFormat="1" applyFont="1" applyFill="1" applyBorder="1" applyAlignment="1">
      <alignment horizontal="center" vertical="center"/>
    </xf>
    <xf numFmtId="10" fontId="3" fillId="4" borderId="0" xfId="2" applyNumberFormat="1" applyFont="1" applyFill="1" applyBorder="1" applyAlignment="1">
      <alignment horizontal="center" vertical="center"/>
    </xf>
    <xf numFmtId="164" fontId="3" fillId="5" borderId="6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164" fontId="3" fillId="4" borderId="6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vertical="center"/>
    </xf>
    <xf numFmtId="0" fontId="3" fillId="6" borderId="3" xfId="0" applyFont="1" applyFill="1" applyBorder="1" applyAlignment="1">
      <alignment horizontal="right" vertical="center"/>
    </xf>
    <xf numFmtId="0" fontId="6" fillId="6" borderId="0" xfId="0" applyFont="1" applyFill="1" applyAlignment="1">
      <alignment vertical="center"/>
    </xf>
    <xf numFmtId="0" fontId="6" fillId="6" borderId="3" xfId="0" applyFont="1" applyFill="1" applyBorder="1" applyAlignment="1">
      <alignment vertical="center"/>
    </xf>
    <xf numFmtId="164" fontId="3" fillId="6" borderId="0" xfId="0" quotePrefix="1" applyNumberFormat="1" applyFont="1" applyFill="1" applyAlignment="1">
      <alignment horizontal="right" vertical="center"/>
    </xf>
    <xf numFmtId="164" fontId="3" fillId="6" borderId="0" xfId="4" applyNumberFormat="1" applyFont="1" applyFill="1" applyAlignment="1">
      <alignment horizontal="right" vertical="center"/>
    </xf>
    <xf numFmtId="9" fontId="3" fillId="6" borderId="0" xfId="0" applyNumberFormat="1" applyFont="1" applyFill="1" applyAlignment="1">
      <alignment horizontal="right" vertical="center"/>
    </xf>
    <xf numFmtId="9" fontId="3" fillId="6" borderId="0" xfId="2" applyFont="1" applyFill="1" applyAlignment="1">
      <alignment horizontal="right" vertical="center"/>
    </xf>
    <xf numFmtId="14" fontId="5" fillId="6" borderId="0" xfId="0" applyNumberFormat="1" applyFont="1" applyFill="1" applyAlignment="1">
      <alignment horizontal="center" vertical="center"/>
    </xf>
    <xf numFmtId="164" fontId="3" fillId="6" borderId="0" xfId="2" applyNumberFormat="1" applyFont="1" applyFill="1" applyAlignment="1">
      <alignment horizontal="right" vertical="center"/>
    </xf>
    <xf numFmtId="3" fontId="5" fillId="6" borderId="0" xfId="0" applyNumberFormat="1" applyFont="1" applyFill="1" applyAlignment="1">
      <alignment horizontal="right" vertical="center"/>
    </xf>
    <xf numFmtId="3" fontId="3" fillId="6" borderId="0" xfId="1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43" fontId="5" fillId="6" borderId="0" xfId="1" applyFont="1" applyFill="1" applyAlignment="1">
      <alignment horizontal="right" vertical="center"/>
    </xf>
    <xf numFmtId="43" fontId="3" fillId="6" borderId="0" xfId="1" applyFont="1" applyFill="1" applyAlignment="1">
      <alignment horizontal="right" vertical="center"/>
    </xf>
    <xf numFmtId="167" fontId="3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center" vertical="center"/>
    </xf>
    <xf numFmtId="0" fontId="0" fillId="7" borderId="7" xfId="0" applyFill="1" applyBorder="1"/>
    <xf numFmtId="0" fontId="16" fillId="7" borderId="7" xfId="0" applyFont="1" applyFill="1" applyBorder="1" applyAlignment="1">
      <alignment horizontal="center"/>
    </xf>
    <xf numFmtId="0" fontId="16" fillId="8" borderId="7" xfId="0" applyFont="1" applyFill="1" applyBorder="1" applyAlignment="1">
      <alignment horizontal="center"/>
    </xf>
    <xf numFmtId="0" fontId="17" fillId="0" borderId="7" xfId="0" applyFont="1" applyBorder="1" applyAlignment="1">
      <alignment horizontal="left" indent="1"/>
    </xf>
    <xf numFmtId="168" fontId="17" fillId="0" borderId="7" xfId="0" applyNumberFormat="1" applyFont="1" applyBorder="1" applyAlignment="1">
      <alignment horizontal="right"/>
    </xf>
    <xf numFmtId="169" fontId="18" fillId="0" borderId="7" xfId="0" applyNumberFormat="1" applyFont="1" applyBorder="1" applyAlignment="1">
      <alignment horizontal="right" indent="1"/>
    </xf>
    <xf numFmtId="0" fontId="18" fillId="9" borderId="7" xfId="0" applyFont="1" applyFill="1" applyBorder="1" applyAlignment="1">
      <alignment horizontal="left" indent="1"/>
    </xf>
    <xf numFmtId="168" fontId="18" fillId="9" borderId="7" xfId="0" applyNumberFormat="1" applyFont="1" applyFill="1" applyBorder="1" applyAlignment="1">
      <alignment horizontal="right"/>
    </xf>
    <xf numFmtId="169" fontId="18" fillId="9" borderId="7" xfId="0" applyNumberFormat="1" applyFont="1" applyFill="1" applyBorder="1" applyAlignment="1">
      <alignment horizontal="right" indent="1"/>
    </xf>
    <xf numFmtId="0" fontId="18" fillId="10" borderId="7" xfId="0" applyFont="1" applyFill="1" applyBorder="1" applyAlignment="1">
      <alignment horizontal="left" indent="1"/>
    </xf>
    <xf numFmtId="168" fontId="18" fillId="10" borderId="7" xfId="0" applyNumberFormat="1" applyFont="1" applyFill="1" applyBorder="1" applyAlignment="1">
      <alignment horizontal="right"/>
    </xf>
    <xf numFmtId="169" fontId="18" fillId="10" borderId="7" xfId="0" applyNumberFormat="1" applyFont="1" applyFill="1" applyBorder="1" applyAlignment="1">
      <alignment horizontal="right" indent="1"/>
    </xf>
    <xf numFmtId="0" fontId="13" fillId="7" borderId="7" xfId="0" applyFont="1" applyFill="1" applyBorder="1" applyAlignment="1">
      <alignment horizontal="left" indent="1"/>
    </xf>
    <xf numFmtId="168" fontId="16" fillId="7" borderId="7" xfId="0" applyNumberFormat="1" applyFont="1" applyFill="1" applyBorder="1" applyAlignment="1">
      <alignment horizontal="right"/>
    </xf>
    <xf numFmtId="169" fontId="13" fillId="7" borderId="7" xfId="0" applyNumberFormat="1" applyFont="1" applyFill="1" applyBorder="1" applyAlignment="1">
      <alignment horizontal="right" indent="1"/>
    </xf>
    <xf numFmtId="0" fontId="16" fillId="7" borderId="7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indent="1"/>
    </xf>
    <xf numFmtId="170" fontId="19" fillId="0" borderId="7" xfId="0" applyNumberFormat="1" applyFont="1" applyBorder="1" applyAlignment="1">
      <alignment horizontal="center" vertical="center"/>
    </xf>
    <xf numFmtId="171" fontId="19" fillId="0" borderId="7" xfId="0" applyNumberFormat="1" applyFont="1" applyBorder="1" applyAlignment="1">
      <alignment horizontal="right" indent="1"/>
    </xf>
    <xf numFmtId="0" fontId="19" fillId="9" borderId="7" xfId="0" applyFont="1" applyFill="1" applyBorder="1" applyAlignment="1">
      <alignment horizontal="left" vertical="center" indent="1"/>
    </xf>
    <xf numFmtId="170" fontId="19" fillId="9" borderId="7" xfId="0" applyNumberFormat="1" applyFont="1" applyFill="1" applyBorder="1" applyAlignment="1">
      <alignment horizontal="center" vertical="center"/>
    </xf>
    <xf numFmtId="171" fontId="19" fillId="9" borderId="7" xfId="0" applyNumberFormat="1" applyFont="1" applyFill="1" applyBorder="1" applyAlignment="1">
      <alignment horizontal="right" indent="1"/>
    </xf>
    <xf numFmtId="171" fontId="18" fillId="10" borderId="7" xfId="0" applyNumberFormat="1" applyFont="1" applyFill="1" applyBorder="1" applyAlignment="1">
      <alignment horizontal="right" indent="1"/>
    </xf>
    <xf numFmtId="171" fontId="13" fillId="7" borderId="7" xfId="0" applyNumberFormat="1" applyFont="1" applyFill="1" applyBorder="1" applyAlignment="1">
      <alignment horizontal="right" indent="1"/>
    </xf>
    <xf numFmtId="1" fontId="17" fillId="0" borderId="7" xfId="0" applyNumberFormat="1" applyFont="1" applyBorder="1" applyAlignment="1">
      <alignment horizontal="center"/>
    </xf>
    <xf numFmtId="171" fontId="17" fillId="0" borderId="7" xfId="0" applyNumberFormat="1" applyFont="1" applyBorder="1" applyAlignment="1">
      <alignment horizontal="right" indent="1"/>
    </xf>
    <xf numFmtId="1" fontId="18" fillId="9" borderId="7" xfId="0" applyNumberFormat="1" applyFont="1" applyFill="1" applyBorder="1" applyAlignment="1">
      <alignment horizontal="center"/>
    </xf>
    <xf numFmtId="171" fontId="18" fillId="9" borderId="7" xfId="0" applyNumberFormat="1" applyFont="1" applyFill="1" applyBorder="1" applyAlignment="1">
      <alignment horizontal="right" indent="1"/>
    </xf>
    <xf numFmtId="0" fontId="20" fillId="0" borderId="0" xfId="0" applyFont="1"/>
    <xf numFmtId="0" fontId="21" fillId="10" borderId="7" xfId="0" applyFont="1" applyFill="1" applyBorder="1" applyAlignment="1">
      <alignment horizontal="left" indent="1"/>
    </xf>
    <xf numFmtId="0" fontId="17" fillId="0" borderId="7" xfId="0" applyFont="1" applyBorder="1" applyAlignment="1">
      <alignment horizontal="center" indent="1"/>
    </xf>
    <xf numFmtId="0" fontId="17" fillId="0" borderId="7" xfId="0" applyFont="1" applyBorder="1" applyAlignment="1">
      <alignment horizontal="center"/>
    </xf>
    <xf numFmtId="172" fontId="17" fillId="0" borderId="7" xfId="0" applyNumberFormat="1" applyFont="1" applyBorder="1" applyAlignment="1">
      <alignment horizontal="right" indent="1"/>
    </xf>
    <xf numFmtId="173" fontId="17" fillId="0" borderId="7" xfId="0" applyNumberFormat="1" applyFont="1" applyBorder="1" applyAlignment="1">
      <alignment horizontal="right" indent="1"/>
    </xf>
    <xf numFmtId="174" fontId="17" fillId="0" borderId="7" xfId="0" applyNumberFormat="1" applyFont="1" applyBorder="1" applyAlignment="1">
      <alignment horizontal="right" indent="1"/>
    </xf>
    <xf numFmtId="169" fontId="17" fillId="0" borderId="7" xfId="0" applyNumberFormat="1" applyFont="1" applyBorder="1" applyAlignment="1">
      <alignment horizontal="right" indent="1"/>
    </xf>
    <xf numFmtId="175" fontId="17" fillId="0" borderId="7" xfId="0" applyNumberFormat="1" applyFont="1" applyBorder="1" applyAlignment="1">
      <alignment horizontal="right" indent="1"/>
    </xf>
    <xf numFmtId="176" fontId="18" fillId="9" borderId="7" xfId="0" applyNumberFormat="1" applyFont="1" applyFill="1" applyBorder="1" applyAlignment="1">
      <alignment horizontal="right" indent="1"/>
    </xf>
    <xf numFmtId="177" fontId="18" fillId="9" borderId="7" xfId="0" applyNumberFormat="1" applyFont="1" applyFill="1" applyBorder="1" applyAlignment="1">
      <alignment horizontal="right" indent="1"/>
    </xf>
    <xf numFmtId="174" fontId="18" fillId="9" borderId="7" xfId="0" applyNumberFormat="1" applyFont="1" applyFill="1" applyBorder="1" applyAlignment="1">
      <alignment horizontal="right" indent="1"/>
    </xf>
    <xf numFmtId="176" fontId="17" fillId="0" borderId="7" xfId="0" applyNumberFormat="1" applyFont="1" applyBorder="1" applyAlignment="1">
      <alignment horizontal="right" indent="1"/>
    </xf>
    <xf numFmtId="177" fontId="17" fillId="0" borderId="7" xfId="0" applyNumberFormat="1" applyFont="1" applyBorder="1" applyAlignment="1">
      <alignment horizontal="right" indent="1"/>
    </xf>
    <xf numFmtId="178" fontId="17" fillId="0" borderId="7" xfId="0" applyNumberFormat="1" applyFont="1" applyBorder="1" applyAlignment="1">
      <alignment horizontal="right" indent="1"/>
    </xf>
    <xf numFmtId="176" fontId="19" fillId="0" borderId="7" xfId="0" applyNumberFormat="1" applyFont="1" applyBorder="1" applyAlignment="1">
      <alignment horizontal="right" indent="1"/>
    </xf>
    <xf numFmtId="177" fontId="19" fillId="0" borderId="7" xfId="0" applyNumberFormat="1" applyFont="1" applyBorder="1" applyAlignment="1">
      <alignment horizontal="right" indent="1"/>
    </xf>
    <xf numFmtId="178" fontId="19" fillId="0" borderId="7" xfId="0" applyNumberFormat="1" applyFont="1" applyBorder="1" applyAlignment="1">
      <alignment horizontal="right" indent="1"/>
    </xf>
    <xf numFmtId="16" fontId="5" fillId="6" borderId="0" xfId="0" applyNumberFormat="1" applyFont="1" applyFill="1" applyAlignment="1">
      <alignment horizontal="center" vertical="center"/>
    </xf>
    <xf numFmtId="10" fontId="5" fillId="6" borderId="0" xfId="2" applyNumberFormat="1" applyFont="1" applyFill="1" applyAlignment="1">
      <alignment horizontal="right" vertical="center"/>
    </xf>
    <xf numFmtId="164" fontId="3" fillId="6" borderId="1" xfId="2" applyNumberFormat="1" applyFont="1" applyFill="1" applyBorder="1" applyAlignment="1">
      <alignment horizontal="center" vertical="center"/>
    </xf>
    <xf numFmtId="164" fontId="9" fillId="3" borderId="1" xfId="2" applyNumberFormat="1" applyFont="1" applyFill="1" applyBorder="1" applyAlignment="1">
      <alignment horizontal="center" vertical="center"/>
    </xf>
    <xf numFmtId="0" fontId="20" fillId="0" borderId="7" xfId="0" applyFont="1" applyBorder="1" applyAlignment="1">
      <alignment horizontal="left" indent="1"/>
    </xf>
    <xf numFmtId="171" fontId="23" fillId="9" borderId="7" xfId="0" applyNumberFormat="1" applyFont="1" applyFill="1" applyBorder="1" applyAlignment="1">
      <alignment horizontal="right" indent="1"/>
    </xf>
    <xf numFmtId="0" fontId="20" fillId="9" borderId="7" xfId="0" applyFont="1" applyFill="1" applyBorder="1" applyAlignment="1">
      <alignment horizontal="left" indent="1"/>
    </xf>
    <xf numFmtId="178" fontId="23" fillId="9" borderId="7" xfId="0" applyNumberFormat="1" applyFont="1" applyFill="1" applyBorder="1" applyAlignment="1">
      <alignment horizontal="right" indent="1"/>
    </xf>
    <xf numFmtId="179" fontId="19" fillId="0" borderId="7" xfId="0" applyNumberFormat="1" applyFont="1" applyBorder="1" applyAlignment="1">
      <alignment horizontal="center"/>
    </xf>
    <xf numFmtId="179" fontId="19" fillId="9" borderId="7" xfId="0" applyNumberFormat="1" applyFont="1" applyFill="1" applyBorder="1" applyAlignment="1">
      <alignment horizontal="center"/>
    </xf>
    <xf numFmtId="0" fontId="25" fillId="0" borderId="7" xfId="0" applyFont="1" applyBorder="1" applyAlignment="1">
      <alignment horizontal="left" indent="1"/>
    </xf>
    <xf numFmtId="171" fontId="21" fillId="0" borderId="7" xfId="0" applyNumberFormat="1" applyFont="1" applyBorder="1" applyAlignment="1">
      <alignment horizontal="right" indent="1"/>
    </xf>
    <xf numFmtId="169" fontId="26" fillId="0" borderId="7" xfId="0" applyNumberFormat="1" applyFont="1" applyBorder="1" applyAlignment="1">
      <alignment horizontal="right" indent="1"/>
    </xf>
    <xf numFmtId="0" fontId="25" fillId="9" borderId="7" xfId="0" applyFont="1" applyFill="1" applyBorder="1" applyAlignment="1">
      <alignment horizontal="left" indent="1"/>
    </xf>
    <xf numFmtId="169" fontId="27" fillId="9" borderId="7" xfId="0" applyNumberFormat="1" applyFont="1" applyFill="1" applyBorder="1" applyAlignment="1">
      <alignment horizontal="right" indent="1"/>
    </xf>
    <xf numFmtId="171" fontId="28" fillId="0" borderId="7" xfId="0" applyNumberFormat="1" applyFont="1" applyBorder="1" applyAlignment="1">
      <alignment horizontal="right" indent="1"/>
    </xf>
    <xf numFmtId="10" fontId="9" fillId="11" borderId="0" xfId="2" applyNumberFormat="1" applyFont="1" applyFill="1" applyAlignment="1">
      <alignment horizontal="left" vertical="center"/>
    </xf>
    <xf numFmtId="164" fontId="3" fillId="11" borderId="0" xfId="0" applyNumberFormat="1" applyFont="1" applyFill="1" applyAlignment="1">
      <alignment horizontal="center" vertical="center"/>
    </xf>
    <xf numFmtId="164" fontId="3" fillId="11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0" fillId="8" borderId="0" xfId="0" applyFill="1"/>
    <xf numFmtId="0" fontId="13" fillId="7" borderId="7" xfId="0" applyFont="1" applyFill="1" applyBorder="1" applyAlignment="1">
      <alignment horizontal="right" indent="1"/>
    </xf>
    <xf numFmtId="0" fontId="18" fillId="10" borderId="7" xfId="0" applyFont="1" applyFill="1" applyBorder="1" applyAlignment="1">
      <alignment horizontal="right" indent="1"/>
    </xf>
    <xf numFmtId="0" fontId="19" fillId="0" borderId="7" xfId="0" applyFont="1" applyBorder="1" applyAlignment="1">
      <alignment horizontal="right" indent="1"/>
    </xf>
    <xf numFmtId="0" fontId="20" fillId="0" borderId="0" xfId="0" applyFont="1" applyAlignment="1">
      <alignment horizontal="left" indent="1"/>
    </xf>
    <xf numFmtId="0" fontId="22" fillId="0" borderId="0" xfId="0" applyFont="1" applyAlignment="1">
      <alignment horizontal="left" wrapText="1" indent="1"/>
    </xf>
    <xf numFmtId="0" fontId="19" fillId="0" borderId="7" xfId="0" applyFont="1" applyBorder="1" applyAlignment="1">
      <alignment horizontal="left" wrapText="1" indent="1"/>
    </xf>
    <xf numFmtId="0" fontId="20" fillId="0" borderId="7" xfId="0" applyFont="1" applyBorder="1" applyAlignment="1">
      <alignment horizontal="left" indent="1"/>
    </xf>
    <xf numFmtId="0" fontId="20" fillId="9" borderId="7" xfId="0" applyFont="1" applyFill="1" applyBorder="1" applyAlignment="1">
      <alignment horizontal="left" indent="1"/>
    </xf>
    <xf numFmtId="0" fontId="20" fillId="0" borderId="0" xfId="0" applyFont="1"/>
    <xf numFmtId="0" fontId="24" fillId="0" borderId="0" xfId="0" applyFont="1"/>
  </cellXfs>
  <cellStyles count="5">
    <cellStyle name="Comma" xfId="1" builtinId="3"/>
    <cellStyle name="Currency" xfId="4" builtinId="4"/>
    <cellStyle name="Normal" xfId="0" builtinId="0"/>
    <cellStyle name="Normal 2" xfId="3" xr:uid="{05FC86DC-8C8F-433C-93C4-86EB0D905801}"/>
    <cellStyle name="Percent" xfId="2" builtinId="5"/>
  </cellStyles>
  <dxfs count="0"/>
  <tableStyles count="0" defaultTableStyle="TableStyleMedium2" defaultPivotStyle="PivotStyleLight16"/>
  <colors>
    <mruColors>
      <color rgb="FFDCD7D2"/>
      <color rgb="FF3F4753"/>
      <color rgb="FFB2A8A0"/>
      <color rgb="FFF898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perun\NPCG%20Dropbox\Listings\Proposals%20-%20CT\RIDGEFIELD%20-%20613%20Main%20St\613_Main_Street_Analysis.xlsx" TargetMode="External"/><Relationship Id="rId1" Type="http://schemas.openxmlformats.org/officeDocument/2006/relationships/externalLinkPath" Target="613_Main_Street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aylor%20Perun/Downloads/613_Main_Street_Analysis(2).xlsx" TargetMode="External"/><Relationship Id="rId2" Type="http://schemas.openxmlformats.org/officeDocument/2006/relationships/externalLinkPath" Target="file:///C:\Users\tperun\NPCG%20Dropbox\Taylor%20Perun\Downloads\613_Main_Street_Analysis(2).xlsx" TargetMode="External"/><Relationship Id="rId1" Type="http://schemas.openxmlformats.org/officeDocument/2006/relationships/externalLinkPath" Target="/Users/tperun/NPCG%20Dropbox/Taylor%20Perun/Downloads/613_Main_Street_Analysis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Rent Roll"/>
      <sheetName val="P&amp;L"/>
      <sheetName val="Tax Analysis"/>
    </sheetNames>
    <sheetDataSet>
      <sheetData sheetId="0"/>
      <sheetData sheetId="1"/>
      <sheetData sheetId="2">
        <row r="8">
          <cell r="O8">
            <v>276000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Rent Roll"/>
      <sheetName val="P&amp;L"/>
      <sheetName val="Tax Analysis"/>
      <sheetName val="Affordability"/>
    </sheetNames>
    <sheetDataSet>
      <sheetData sheetId="0" refreshError="1"/>
      <sheetData sheetId="1" refreshError="1"/>
      <sheetData sheetId="2">
        <row r="9">
          <cell r="O9">
            <v>-27732</v>
          </cell>
        </row>
        <row r="20">
          <cell r="O20">
            <v>33432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E251-0AF8-4C4B-94D1-971E7544388A}">
  <sheetPr>
    <tabColor rgb="FFF8981C"/>
  </sheetPr>
  <dimension ref="B2:Z62"/>
  <sheetViews>
    <sheetView tabSelected="1" zoomScaleNormal="100" workbookViewId="0">
      <selection activeCell="P31" sqref="P31"/>
    </sheetView>
  </sheetViews>
  <sheetFormatPr defaultColWidth="9.140625" defaultRowHeight="14.25" x14ac:dyDescent="0.25"/>
  <cols>
    <col min="1" max="1" width="2.85546875" style="16" customWidth="1"/>
    <col min="2" max="2" width="11.85546875" style="16" customWidth="1"/>
    <col min="3" max="5" width="11.85546875" style="12" customWidth="1"/>
    <col min="6" max="6" width="2.85546875" style="16" customWidth="1"/>
    <col min="7" max="7" width="24.85546875" style="16" bestFit="1" customWidth="1"/>
    <col min="8" max="9" width="10.140625" style="6" bestFit="1" customWidth="1"/>
    <col min="10" max="10" width="8.28515625" style="48" bestFit="1" customWidth="1"/>
    <col min="11" max="11" width="11.85546875" style="6" bestFit="1" customWidth="1"/>
    <col min="12" max="12" width="10.140625" style="6" bestFit="1" customWidth="1"/>
    <col min="13" max="13" width="7.7109375" style="48" bestFit="1" customWidth="1"/>
    <col min="14" max="14" width="11.85546875" style="6" bestFit="1" customWidth="1"/>
    <col min="15" max="15" width="10.140625" style="6" bestFit="1" customWidth="1"/>
    <col min="16" max="16" width="7.42578125" style="48" bestFit="1" customWidth="1"/>
    <col min="17" max="17" width="2.85546875" style="16" customWidth="1"/>
    <col min="18" max="18" width="17.42578125" style="16" bestFit="1" customWidth="1"/>
    <col min="19" max="20" width="24" style="6" bestFit="1" customWidth="1"/>
    <col min="21" max="21" width="18.7109375" style="62" bestFit="1" customWidth="1"/>
    <col min="22" max="22" width="11.85546875" style="6" bestFit="1" customWidth="1"/>
    <col min="23" max="23" width="16.5703125" style="6" bestFit="1" customWidth="1"/>
    <col min="24" max="24" width="11.85546875" style="6" bestFit="1" customWidth="1"/>
    <col min="25" max="25" width="10.42578125" style="6" bestFit="1" customWidth="1"/>
    <col min="26" max="26" width="12" style="6" customWidth="1"/>
    <col min="27" max="16384" width="9.140625" style="16"/>
  </cols>
  <sheetData>
    <row r="2" spans="2:26" x14ac:dyDescent="0.25">
      <c r="B2" s="31" t="s">
        <v>0</v>
      </c>
      <c r="C2" s="52"/>
      <c r="D2" s="52"/>
      <c r="E2" s="81">
        <f ca="1">TODAY()</f>
        <v>46176</v>
      </c>
      <c r="F2" s="21"/>
      <c r="G2" s="17" t="s">
        <v>1</v>
      </c>
      <c r="H2" s="32"/>
      <c r="I2" s="32"/>
      <c r="J2" s="33"/>
      <c r="K2" s="174"/>
      <c r="L2" s="174"/>
      <c r="M2" s="174"/>
      <c r="N2" s="174"/>
      <c r="O2" s="174"/>
      <c r="P2" s="174"/>
      <c r="R2" s="15" t="s">
        <v>2</v>
      </c>
      <c r="S2" s="56"/>
      <c r="T2" s="56"/>
      <c r="U2" s="63"/>
      <c r="V2" s="56"/>
      <c r="W2" s="56"/>
      <c r="X2" s="56"/>
      <c r="Y2" s="56"/>
      <c r="Z2" s="56"/>
    </row>
    <row r="3" spans="2:26" ht="15" thickBot="1" x14ac:dyDescent="0.3">
      <c r="B3" s="31" t="s">
        <v>3</v>
      </c>
      <c r="C3" s="52"/>
      <c r="D3" s="52"/>
      <c r="E3" s="82" t="s">
        <v>324</v>
      </c>
      <c r="F3" s="21"/>
      <c r="G3" s="19" t="s">
        <v>5</v>
      </c>
      <c r="H3" s="1" t="s">
        <v>6</v>
      </c>
      <c r="I3" s="2" t="s">
        <v>7</v>
      </c>
      <c r="J3" s="3" t="s">
        <v>8</v>
      </c>
      <c r="K3" s="1" t="s">
        <v>79</v>
      </c>
      <c r="L3" s="2" t="s">
        <v>7</v>
      </c>
      <c r="M3" s="3" t="s">
        <v>8</v>
      </c>
      <c r="N3" s="1" t="s">
        <v>79</v>
      </c>
      <c r="O3" s="2" t="s">
        <v>7</v>
      </c>
      <c r="P3" s="3" t="s">
        <v>8</v>
      </c>
      <c r="R3" s="4"/>
      <c r="S3" s="4" t="s">
        <v>10</v>
      </c>
      <c r="T3" s="4" t="s">
        <v>11</v>
      </c>
      <c r="U3" s="64" t="s">
        <v>12</v>
      </c>
      <c r="V3" s="5" t="s">
        <v>13</v>
      </c>
      <c r="W3" s="5" t="s">
        <v>14</v>
      </c>
      <c r="X3" s="50" t="s">
        <v>9</v>
      </c>
      <c r="Y3" s="4"/>
      <c r="Z3" s="4"/>
    </row>
    <row r="4" spans="2:26" x14ac:dyDescent="0.25">
      <c r="B4" s="15" t="s">
        <v>15</v>
      </c>
      <c r="C4" s="70"/>
      <c r="D4" s="70"/>
      <c r="E4" s="70"/>
      <c r="F4" s="21"/>
      <c r="G4" s="20" t="s">
        <v>16</v>
      </c>
      <c r="H4" s="34">
        <f>$X$11</f>
        <v>306108</v>
      </c>
      <c r="I4" s="35"/>
      <c r="J4" s="36"/>
      <c r="K4" s="34">
        <f>$X$11</f>
        <v>306108</v>
      </c>
      <c r="L4" s="35"/>
      <c r="M4" s="36"/>
      <c r="N4" s="34">
        <f>$X$11</f>
        <v>306108</v>
      </c>
      <c r="O4" s="35"/>
      <c r="P4" s="36"/>
      <c r="S4" s="155" t="s">
        <v>219</v>
      </c>
      <c r="T4" s="60">
        <f t="shared" ref="T4:T10" si="0">IF(S4="*Insert Unit Type*","",COUNTIF($T$16:$T$24,S4))</f>
        <v>1</v>
      </c>
      <c r="U4" s="62">
        <f>IFERROR(AVERAGEIF($T$16:$T$24,S4,$U$16:$U$24),"")</f>
        <v>950</v>
      </c>
      <c r="V4" s="49">
        <f>IF(S4="*Insert Unit Type*","",(AVERAGEIF($T$16:$T$24,S4,$V$16:$V$24)))</f>
        <v>2875</v>
      </c>
      <c r="W4" s="49">
        <f>IF(S4="*Insert Unit Type*","",_xlfn.MAXIFS($V$16:$V$24,$T$16:$T$24,S4))</f>
        <v>2875</v>
      </c>
      <c r="X4" s="8">
        <v>3100</v>
      </c>
    </row>
    <row r="5" spans="2:26" x14ac:dyDescent="0.25">
      <c r="B5" s="18" t="s">
        <v>17</v>
      </c>
      <c r="D5" s="74"/>
      <c r="E5" s="74" t="s">
        <v>215</v>
      </c>
      <c r="F5" s="21"/>
      <c r="G5" s="21" t="s">
        <v>18</v>
      </c>
      <c r="H5" s="37">
        <f>H6-H4</f>
        <v>-31476</v>
      </c>
      <c r="J5" s="38">
        <f>IFERROR(H5/H6,0)</f>
        <v>-0.11461155291444551</v>
      </c>
      <c r="K5" s="37">
        <f>K6-K4</f>
        <v>-31476</v>
      </c>
      <c r="M5" s="38">
        <f>IFERROR(K5/K6,0)</f>
        <v>-0.11461155291444551</v>
      </c>
      <c r="N5" s="37">
        <f>N6-N4</f>
        <v>0</v>
      </c>
      <c r="P5" s="38">
        <f>IFERROR(N5/N6,0)</f>
        <v>0</v>
      </c>
      <c r="S5" s="155" t="s">
        <v>321</v>
      </c>
      <c r="T5" s="60">
        <f t="shared" si="0"/>
        <v>1</v>
      </c>
      <c r="U5" s="62">
        <f t="shared" ref="U5:U10" si="1">IFERROR(AVERAGEIF($T$16:$T$24,S5,$U$16:$U$24),"")</f>
        <v>650</v>
      </c>
      <c r="V5" s="49">
        <f t="shared" ref="V5:V10" si="2">IF(S5="*Insert Unit Type*","",(AVERAGEIF($T$16:$T$24,S5,$V$16:$V$24)))</f>
        <v>1534</v>
      </c>
      <c r="W5" s="49">
        <f t="shared" ref="W5:W10" si="3">IF(S5="*Insert Unit Type*","",_xlfn.MAXIFS($V$16:$V$24,$T$16:$T$24,S5))</f>
        <v>1534</v>
      </c>
      <c r="X5" s="8">
        <v>1935</v>
      </c>
    </row>
    <row r="6" spans="2:26" x14ac:dyDescent="0.25">
      <c r="B6" s="18" t="s">
        <v>19</v>
      </c>
      <c r="D6" s="74"/>
      <c r="E6" s="74" t="s">
        <v>215</v>
      </c>
      <c r="F6" s="21"/>
      <c r="G6" s="20" t="s">
        <v>20</v>
      </c>
      <c r="H6" s="34">
        <f>$V$11</f>
        <v>274632</v>
      </c>
      <c r="I6" s="35"/>
      <c r="J6" s="36"/>
      <c r="K6" s="34">
        <f>$V$11</f>
        <v>274632</v>
      </c>
      <c r="L6" s="35"/>
      <c r="M6" s="36"/>
      <c r="N6" s="34">
        <f>$X$11</f>
        <v>306108</v>
      </c>
      <c r="O6" s="35"/>
      <c r="P6" s="36"/>
      <c r="S6" s="155" t="s">
        <v>226</v>
      </c>
      <c r="T6" s="60">
        <f t="shared" si="0"/>
        <v>1</v>
      </c>
      <c r="U6" s="62">
        <f t="shared" si="1"/>
        <v>850</v>
      </c>
      <c r="V6" s="49">
        <f t="shared" si="2"/>
        <v>2995</v>
      </c>
      <c r="W6" s="49">
        <f t="shared" si="3"/>
        <v>2995</v>
      </c>
      <c r="X6" s="8">
        <v>3200</v>
      </c>
    </row>
    <row r="7" spans="2:26" x14ac:dyDescent="0.25">
      <c r="B7" s="18" t="s">
        <v>21</v>
      </c>
      <c r="D7" s="74"/>
      <c r="E7" s="74" t="s">
        <v>225</v>
      </c>
      <c r="F7" s="21"/>
      <c r="G7" s="21" t="s">
        <v>22</v>
      </c>
      <c r="H7" s="37">
        <f>-ABS(J7*H6)</f>
        <v>0</v>
      </c>
      <c r="J7" s="46">
        <v>0</v>
      </c>
      <c r="K7" s="37">
        <f>-ABS(K6*M7)</f>
        <v>-5492.64</v>
      </c>
      <c r="M7" s="46">
        <v>0.02</v>
      </c>
      <c r="N7" s="37">
        <f>-ABS(N6*P7)</f>
        <v>-6122.16</v>
      </c>
      <c r="P7" s="46">
        <v>0.02</v>
      </c>
      <c r="S7" s="61" t="s">
        <v>323</v>
      </c>
      <c r="T7" s="60">
        <f t="shared" si="0"/>
        <v>1</v>
      </c>
      <c r="U7" s="62">
        <f t="shared" si="1"/>
        <v>1052</v>
      </c>
      <c r="V7" s="49">
        <f t="shared" si="2"/>
        <v>1478</v>
      </c>
      <c r="W7" s="49">
        <f t="shared" si="3"/>
        <v>1478</v>
      </c>
      <c r="X7" s="8">
        <v>1935</v>
      </c>
    </row>
    <row r="8" spans="2:26" x14ac:dyDescent="0.25">
      <c r="B8" s="18" t="s">
        <v>23</v>
      </c>
      <c r="D8" s="74"/>
      <c r="E8" s="74">
        <v>2012</v>
      </c>
      <c r="F8" s="21"/>
      <c r="G8" s="22" t="s">
        <v>24</v>
      </c>
      <c r="H8" s="80">
        <f>V25*12</f>
        <v>274632</v>
      </c>
      <c r="I8" s="40"/>
      <c r="J8" s="41"/>
      <c r="K8" s="39">
        <f>SUM(K6:K7)</f>
        <v>269139.36</v>
      </c>
      <c r="L8" s="40"/>
      <c r="M8" s="41"/>
      <c r="N8" s="39">
        <f>SUM(N6:N7)</f>
        <v>299985.84000000003</v>
      </c>
      <c r="O8" s="40"/>
      <c r="P8" s="41"/>
      <c r="S8" s="61" t="s">
        <v>322</v>
      </c>
      <c r="T8" s="60">
        <f t="shared" si="0"/>
        <v>1</v>
      </c>
      <c r="U8" s="62">
        <f t="shared" si="1"/>
        <v>1052</v>
      </c>
      <c r="V8" s="49">
        <f t="shared" si="2"/>
        <v>2039</v>
      </c>
      <c r="W8" s="49">
        <f t="shared" si="3"/>
        <v>2039</v>
      </c>
      <c r="X8" s="8">
        <v>2039</v>
      </c>
    </row>
    <row r="9" spans="2:26" x14ac:dyDescent="0.25">
      <c r="B9" s="18" t="s">
        <v>85</v>
      </c>
      <c r="D9" s="74"/>
      <c r="E9" s="102">
        <v>9900</v>
      </c>
      <c r="F9" s="21"/>
      <c r="G9" s="23" t="s">
        <v>218</v>
      </c>
      <c r="H9" s="108">
        <f>765*12</f>
        <v>9180</v>
      </c>
      <c r="I9" s="37">
        <f t="shared" ref="I9" si="4">IFERROR(H9/$E$11,0)</f>
        <v>1020</v>
      </c>
      <c r="J9" s="157"/>
      <c r="K9" s="37">
        <f>H9</f>
        <v>9180</v>
      </c>
      <c r="L9" s="37">
        <f t="shared" ref="L9" si="5">IFERROR(K9/$E$11,0)</f>
        <v>1020</v>
      </c>
      <c r="M9" s="157"/>
      <c r="N9" s="37">
        <f>K9</f>
        <v>9180</v>
      </c>
      <c r="O9" s="37">
        <f t="shared" ref="O9" si="6">IFERROR(N9/$E$11,0)</f>
        <v>1020</v>
      </c>
      <c r="P9" s="157"/>
      <c r="S9" s="61" t="s">
        <v>217</v>
      </c>
      <c r="T9" s="60">
        <f t="shared" si="0"/>
        <v>1</v>
      </c>
      <c r="U9" s="62">
        <f t="shared" si="1"/>
        <v>1052</v>
      </c>
      <c r="V9" s="49">
        <f t="shared" si="2"/>
        <v>2825</v>
      </c>
      <c r="W9" s="49">
        <f t="shared" si="3"/>
        <v>2825</v>
      </c>
      <c r="X9" s="8">
        <v>3250</v>
      </c>
    </row>
    <row r="10" spans="2:26" x14ac:dyDescent="0.25">
      <c r="B10" s="18" t="s">
        <v>25</v>
      </c>
      <c r="D10" s="75"/>
      <c r="E10" s="103">
        <f>SUM(U16:U24)</f>
        <v>8762</v>
      </c>
      <c r="F10" s="21"/>
      <c r="G10" s="25" t="s">
        <v>36</v>
      </c>
      <c r="H10" s="42">
        <f>SUM(H9:H9)</f>
        <v>9180</v>
      </c>
      <c r="I10" s="42">
        <f>SUM(I9:I9)</f>
        <v>1020</v>
      </c>
      <c r="J10" s="158"/>
      <c r="K10" s="42">
        <f>SUM(K9:K9)</f>
        <v>9180</v>
      </c>
      <c r="L10" s="42">
        <f>SUM(L9:L9)</f>
        <v>1020</v>
      </c>
      <c r="M10" s="158"/>
      <c r="N10" s="42">
        <f>SUM(N9:N9)</f>
        <v>9180</v>
      </c>
      <c r="O10" s="42">
        <f>SUM(O9:O9)</f>
        <v>1020</v>
      </c>
      <c r="P10" s="158"/>
      <c r="S10" s="61" t="s">
        <v>216</v>
      </c>
      <c r="T10" s="60">
        <f t="shared" si="0"/>
        <v>3</v>
      </c>
      <c r="U10" s="62">
        <f t="shared" si="1"/>
        <v>1052</v>
      </c>
      <c r="V10" s="49">
        <f t="shared" si="2"/>
        <v>3046.6666666666665</v>
      </c>
      <c r="W10" s="49">
        <f t="shared" si="3"/>
        <v>3350</v>
      </c>
      <c r="X10" s="8">
        <v>3350</v>
      </c>
    </row>
    <row r="11" spans="2:26" x14ac:dyDescent="0.25">
      <c r="B11" s="18" t="s">
        <v>26</v>
      </c>
      <c r="D11" s="76"/>
      <c r="E11" s="76">
        <f>T11</f>
        <v>9</v>
      </c>
      <c r="F11" s="21"/>
      <c r="G11" s="21"/>
      <c r="H11" s="37"/>
      <c r="J11" s="38"/>
      <c r="K11" s="37"/>
      <c r="M11" s="38"/>
      <c r="N11" s="37"/>
      <c r="P11" s="38"/>
      <c r="R11" s="13" t="s">
        <v>30</v>
      </c>
      <c r="S11" s="14"/>
      <c r="T11" s="14">
        <f>SUM(T4:T10)</f>
        <v>9</v>
      </c>
      <c r="U11" s="65"/>
      <c r="V11" s="57">
        <f>SUMPRODUCT($T$4:$T$10,V4:V10)*12</f>
        <v>274632</v>
      </c>
      <c r="W11" s="57">
        <f>SUMPRODUCT($T$4:$T$10,W4:W10)*12</f>
        <v>285552</v>
      </c>
      <c r="X11" s="57">
        <f>SUMPRODUCT($T$4:$T$10,X4:X10)*12</f>
        <v>306108</v>
      </c>
      <c r="Y11" s="14"/>
      <c r="Z11" s="14"/>
    </row>
    <row r="12" spans="2:26" x14ac:dyDescent="0.25">
      <c r="B12" s="18" t="s">
        <v>27</v>
      </c>
      <c r="D12" s="74"/>
      <c r="E12" s="74">
        <v>0.5</v>
      </c>
      <c r="F12" s="21"/>
      <c r="G12" s="26" t="s">
        <v>41</v>
      </c>
      <c r="H12" s="43">
        <f>IFERROR(H8+H10,0)</f>
        <v>283812</v>
      </c>
      <c r="I12" s="44"/>
      <c r="J12" s="45"/>
      <c r="K12" s="43">
        <f>K8+K10</f>
        <v>278319.35999999999</v>
      </c>
      <c r="L12" s="44"/>
      <c r="M12" s="45"/>
      <c r="N12" s="43">
        <f>N8+N10</f>
        <v>309165.84000000003</v>
      </c>
      <c r="O12" s="44"/>
      <c r="P12" s="45"/>
      <c r="R12" s="31" t="s">
        <v>32</v>
      </c>
      <c r="S12" s="58"/>
      <c r="T12" s="58"/>
      <c r="U12" s="66">
        <f>IFERROR(AVERAGE(U16:U24),0)</f>
        <v>973.55555555555554</v>
      </c>
      <c r="V12" s="59">
        <f>IFERROR(AVERAGE(V16:V24),0)</f>
        <v>2542.8888888888887</v>
      </c>
      <c r="W12" s="59">
        <f>IFERROR(AVERAGE(W16:W24),0)</f>
        <v>2644</v>
      </c>
      <c r="X12" s="59">
        <f>IFERROR(AVERAGE(X16:X24),0)</f>
        <v>2834.3333333333335</v>
      </c>
      <c r="Y12" s="58"/>
      <c r="Z12" s="58"/>
    </row>
    <row r="13" spans="2:26" x14ac:dyDescent="0.25">
      <c r="B13" s="15" t="s">
        <v>28</v>
      </c>
      <c r="C13" s="78"/>
      <c r="D13" s="78"/>
      <c r="E13" s="78"/>
      <c r="F13" s="21"/>
      <c r="G13" s="21"/>
      <c r="J13" s="38"/>
      <c r="M13" s="38"/>
      <c r="P13" s="38"/>
    </row>
    <row r="14" spans="2:26" x14ac:dyDescent="0.25">
      <c r="B14" s="18" t="s">
        <v>29</v>
      </c>
      <c r="D14" s="77"/>
      <c r="E14" s="77">
        <v>3600000</v>
      </c>
      <c r="F14" s="21"/>
      <c r="G14" s="17" t="s">
        <v>43</v>
      </c>
      <c r="H14" s="32"/>
      <c r="I14" s="32"/>
      <c r="J14" s="33"/>
      <c r="K14" s="174"/>
      <c r="L14" s="174"/>
      <c r="M14" s="174"/>
      <c r="N14" s="174"/>
      <c r="O14" s="174"/>
      <c r="P14" s="174"/>
      <c r="R14" s="15" t="s">
        <v>35</v>
      </c>
      <c r="S14" s="32"/>
      <c r="T14" s="32"/>
      <c r="U14" s="67"/>
      <c r="V14" s="32"/>
      <c r="W14" s="32"/>
      <c r="X14" s="32"/>
      <c r="Y14" s="32"/>
      <c r="Z14" s="32"/>
    </row>
    <row r="15" spans="2:26" ht="15" thickBot="1" x14ac:dyDescent="0.3">
      <c r="B15" s="18" t="s">
        <v>31</v>
      </c>
      <c r="D15" s="73"/>
      <c r="E15" s="73">
        <f>IFERROR(E14/E11,0)</f>
        <v>400000</v>
      </c>
      <c r="F15" s="21"/>
      <c r="G15" s="19" t="s">
        <v>45</v>
      </c>
      <c r="H15" s="1" t="s">
        <v>6</v>
      </c>
      <c r="I15" s="2" t="s">
        <v>7</v>
      </c>
      <c r="J15" s="3" t="s">
        <v>8</v>
      </c>
      <c r="K15" s="1" t="str">
        <f>K3</f>
        <v>Marketing</v>
      </c>
      <c r="L15" s="2" t="s">
        <v>7</v>
      </c>
      <c r="M15" s="3" t="s">
        <v>8</v>
      </c>
      <c r="N15" s="1" t="str">
        <f>N3</f>
        <v>Marketing</v>
      </c>
      <c r="O15" s="2" t="s">
        <v>7</v>
      </c>
      <c r="P15" s="3" t="s">
        <v>8</v>
      </c>
      <c r="R15" s="4" t="s">
        <v>37</v>
      </c>
      <c r="S15" s="51" t="s">
        <v>38</v>
      </c>
      <c r="T15" s="51" t="s">
        <v>10</v>
      </c>
      <c r="U15" s="68" t="s">
        <v>12</v>
      </c>
      <c r="V15" s="50" t="s">
        <v>13</v>
      </c>
      <c r="W15" s="5" t="s">
        <v>14</v>
      </c>
      <c r="X15" s="5" t="s">
        <v>9</v>
      </c>
      <c r="Y15" s="51" t="s">
        <v>39</v>
      </c>
      <c r="Z15" s="51" t="s">
        <v>40</v>
      </c>
    </row>
    <row r="16" spans="2:26" x14ac:dyDescent="0.25">
      <c r="B16" s="18" t="s">
        <v>33</v>
      </c>
      <c r="D16" s="73"/>
      <c r="E16" s="73">
        <f>E14/E9</f>
        <v>363.63636363636363</v>
      </c>
      <c r="F16" s="21"/>
      <c r="G16" s="23" t="s">
        <v>48</v>
      </c>
      <c r="H16" s="108">
        <f>'Tax Analysis'!D14</f>
        <v>27743.32</v>
      </c>
      <c r="I16" s="62">
        <f t="shared" ref="I16:I23" si="7">IFERROR(H16/$E$11,0)</f>
        <v>3082.5911111111109</v>
      </c>
      <c r="J16" s="38"/>
      <c r="K16" s="108">
        <f>H16</f>
        <v>27743.32</v>
      </c>
      <c r="L16" s="62">
        <f t="shared" ref="L16:L23" si="8">IFERROR(K16/$E$11,0)</f>
        <v>3082.5911111111109</v>
      </c>
      <c r="M16" s="38"/>
      <c r="N16" s="108">
        <f>K16</f>
        <v>27743.32</v>
      </c>
      <c r="O16" s="62">
        <f t="shared" ref="O16:O23" si="9">IFERROR(N16/$E$11,0)</f>
        <v>3082.5911111111109</v>
      </c>
      <c r="P16" s="38"/>
      <c r="R16" s="7" t="s">
        <v>208</v>
      </c>
      <c r="S16" s="7" t="s">
        <v>209</v>
      </c>
      <c r="T16" s="155" t="s">
        <v>226</v>
      </c>
      <c r="U16" s="61">
        <v>850</v>
      </c>
      <c r="V16" s="61">
        <v>2995</v>
      </c>
      <c r="W16" s="49">
        <f t="shared" ref="W16:W24" si="10">IF(T16="","",_xlfn.XLOOKUP(T16,$S$4:$S$10,$W$4:$W$10))</f>
        <v>2995</v>
      </c>
      <c r="X16" s="9">
        <f t="shared" ref="X16:X24" si="11">IF(T16="*Insert Unit Type*","",_xlfn.XLOOKUP(T16,$S$4:$S$10,$X$4:$X$10,""))</f>
        <v>3200</v>
      </c>
      <c r="Y16" s="100" t="s">
        <v>4</v>
      </c>
      <c r="Z16" s="100" t="s">
        <v>4</v>
      </c>
    </row>
    <row r="17" spans="2:26" x14ac:dyDescent="0.25">
      <c r="B17" s="24" t="s">
        <v>86</v>
      </c>
      <c r="C17" s="79"/>
      <c r="D17" s="79"/>
      <c r="E17" s="79">
        <f>IFERROR(E14/E10,0)</f>
        <v>410.86509929239901</v>
      </c>
      <c r="F17" s="21"/>
      <c r="G17" s="23" t="s">
        <v>51</v>
      </c>
      <c r="H17" s="108">
        <f>'2025 P&amp;L Given'!O15</f>
        <v>4320</v>
      </c>
      <c r="I17" s="62">
        <f t="shared" si="7"/>
        <v>480</v>
      </c>
      <c r="J17" s="38"/>
      <c r="K17" s="108">
        <f t="shared" ref="K17:K21" si="12">H17</f>
        <v>4320</v>
      </c>
      <c r="L17" s="62">
        <f t="shared" si="8"/>
        <v>480</v>
      </c>
      <c r="M17" s="38"/>
      <c r="N17" s="108">
        <f t="shared" ref="N17:N23" si="13">K17</f>
        <v>4320</v>
      </c>
      <c r="O17" s="62">
        <f t="shared" si="9"/>
        <v>480</v>
      </c>
      <c r="P17" s="38"/>
      <c r="R17" s="7" t="s">
        <v>215</v>
      </c>
      <c r="S17" s="7" t="s">
        <v>210</v>
      </c>
      <c r="T17" s="155" t="s">
        <v>219</v>
      </c>
      <c r="U17" s="61">
        <v>950</v>
      </c>
      <c r="V17" s="61">
        <v>2875</v>
      </c>
      <c r="W17" s="49">
        <f t="shared" si="10"/>
        <v>2875</v>
      </c>
      <c r="X17" s="9">
        <f t="shared" si="11"/>
        <v>3100</v>
      </c>
      <c r="Y17" s="100" t="s">
        <v>4</v>
      </c>
      <c r="Z17" s="100" t="s">
        <v>4</v>
      </c>
    </row>
    <row r="18" spans="2:26" x14ac:dyDescent="0.25">
      <c r="B18" s="18" t="s">
        <v>34</v>
      </c>
      <c r="D18" s="71"/>
      <c r="E18" s="71">
        <f>IFERROR(H26/E14,0)</f>
        <v>6.1843522222222218E-2</v>
      </c>
      <c r="F18" s="21"/>
      <c r="G18" s="23" t="s">
        <v>113</v>
      </c>
      <c r="H18" s="108">
        <f>'2025 P&amp;L Given'!O13</f>
        <v>4320</v>
      </c>
      <c r="I18" s="62">
        <f t="shared" si="7"/>
        <v>480</v>
      </c>
      <c r="J18" s="38"/>
      <c r="K18" s="108">
        <f t="shared" si="12"/>
        <v>4320</v>
      </c>
      <c r="L18" s="62">
        <f t="shared" si="8"/>
        <v>480</v>
      </c>
      <c r="M18" s="38"/>
      <c r="N18" s="108">
        <f t="shared" si="13"/>
        <v>4320</v>
      </c>
      <c r="O18" s="62">
        <f t="shared" si="9"/>
        <v>480</v>
      </c>
      <c r="P18" s="38"/>
      <c r="R18" s="7" t="s">
        <v>215</v>
      </c>
      <c r="S18" s="7" t="s">
        <v>220</v>
      </c>
      <c r="T18" s="7" t="s">
        <v>321</v>
      </c>
      <c r="U18" s="61">
        <v>650</v>
      </c>
      <c r="V18" s="61">
        <v>1534</v>
      </c>
      <c r="W18" s="49">
        <f t="shared" si="10"/>
        <v>1534</v>
      </c>
      <c r="X18" s="9">
        <f t="shared" si="11"/>
        <v>1935</v>
      </c>
      <c r="Y18" s="100" t="s">
        <v>4</v>
      </c>
      <c r="Z18" s="100" t="s">
        <v>4</v>
      </c>
    </row>
    <row r="19" spans="2:26" x14ac:dyDescent="0.25">
      <c r="B19" s="94" t="s">
        <v>91</v>
      </c>
      <c r="D19" s="71"/>
      <c r="E19" s="71">
        <f>K26/E14</f>
        <v>6.0317788888888883E-2</v>
      </c>
      <c r="F19" s="21"/>
      <c r="G19" s="23" t="s">
        <v>114</v>
      </c>
      <c r="H19" s="108">
        <f>'2025 P&amp;L Given'!O14</f>
        <v>696</v>
      </c>
      <c r="I19" s="62">
        <f t="shared" si="7"/>
        <v>77.333333333333329</v>
      </c>
      <c r="J19" s="38"/>
      <c r="K19" s="108">
        <f t="shared" si="12"/>
        <v>696</v>
      </c>
      <c r="L19" s="62">
        <f t="shared" si="8"/>
        <v>77.333333333333329</v>
      </c>
      <c r="M19" s="38"/>
      <c r="N19" s="108">
        <f t="shared" si="13"/>
        <v>696</v>
      </c>
      <c r="O19" s="62">
        <f t="shared" si="9"/>
        <v>77.333333333333329</v>
      </c>
      <c r="P19" s="38"/>
      <c r="R19" s="7" t="s">
        <v>215</v>
      </c>
      <c r="S19" s="7" t="s">
        <v>211</v>
      </c>
      <c r="T19" s="61" t="s">
        <v>216</v>
      </c>
      <c r="U19" s="61">
        <v>1052</v>
      </c>
      <c r="V19" s="61">
        <v>2895</v>
      </c>
      <c r="W19" s="49">
        <f t="shared" si="10"/>
        <v>3350</v>
      </c>
      <c r="X19" s="9">
        <f t="shared" si="11"/>
        <v>3350</v>
      </c>
      <c r="Y19" s="100" t="s">
        <v>4</v>
      </c>
      <c r="Z19" s="100" t="s">
        <v>4</v>
      </c>
    </row>
    <row r="20" spans="2:26" x14ac:dyDescent="0.25">
      <c r="B20" s="95" t="s">
        <v>92</v>
      </c>
      <c r="C20" s="79"/>
      <c r="D20" s="72"/>
      <c r="E20" s="72">
        <f>N26/E14</f>
        <v>6.8886255555555567E-2</v>
      </c>
      <c r="F20" s="21"/>
      <c r="G20" s="23" t="s">
        <v>52</v>
      </c>
      <c r="H20" s="108">
        <f>'2025 P&amp;L Given'!O18</f>
        <v>4380</v>
      </c>
      <c r="I20" s="62">
        <f t="shared" si="7"/>
        <v>486.66666666666669</v>
      </c>
      <c r="J20" s="38"/>
      <c r="K20" s="108">
        <f t="shared" si="12"/>
        <v>4380</v>
      </c>
      <c r="L20" s="62">
        <f t="shared" si="8"/>
        <v>486.66666666666669</v>
      </c>
      <c r="M20" s="38"/>
      <c r="N20" s="108">
        <f t="shared" si="13"/>
        <v>4380</v>
      </c>
      <c r="O20" s="62">
        <f t="shared" si="9"/>
        <v>486.66666666666669</v>
      </c>
      <c r="P20" s="38"/>
      <c r="R20" s="7" t="s">
        <v>215</v>
      </c>
      <c r="S20" s="7" t="s">
        <v>212</v>
      </c>
      <c r="T20" s="61" t="s">
        <v>216</v>
      </c>
      <c r="U20" s="61">
        <v>1052</v>
      </c>
      <c r="V20" s="61">
        <v>2895</v>
      </c>
      <c r="W20" s="49">
        <f t="shared" si="10"/>
        <v>3350</v>
      </c>
      <c r="X20" s="9">
        <f t="shared" si="11"/>
        <v>3350</v>
      </c>
      <c r="Y20" s="100" t="s">
        <v>4</v>
      </c>
      <c r="Z20" s="100" t="s">
        <v>4</v>
      </c>
    </row>
    <row r="21" spans="2:26" x14ac:dyDescent="0.25">
      <c r="B21" s="94" t="s">
        <v>89</v>
      </c>
      <c r="E21" s="71">
        <f>K32</f>
        <v>3.1032346637852707E-2</v>
      </c>
      <c r="F21" s="21"/>
      <c r="G21" s="23" t="s">
        <v>227</v>
      </c>
      <c r="H21" s="108">
        <f>'2025 P&amp;L Given'!O19</f>
        <v>2376</v>
      </c>
      <c r="I21" s="62">
        <f t="shared" si="7"/>
        <v>264</v>
      </c>
      <c r="J21" s="38"/>
      <c r="K21" s="108">
        <f t="shared" si="12"/>
        <v>2376</v>
      </c>
      <c r="L21" s="62">
        <f t="shared" si="8"/>
        <v>264</v>
      </c>
      <c r="M21" s="38"/>
      <c r="N21" s="108">
        <f t="shared" si="13"/>
        <v>2376</v>
      </c>
      <c r="O21" s="62">
        <f t="shared" si="9"/>
        <v>264</v>
      </c>
      <c r="P21" s="38"/>
      <c r="R21" s="7" t="s">
        <v>215</v>
      </c>
      <c r="S21" s="7" t="s">
        <v>213</v>
      </c>
      <c r="T21" s="61" t="s">
        <v>216</v>
      </c>
      <c r="U21" s="61">
        <v>1052</v>
      </c>
      <c r="V21" s="61">
        <v>3350</v>
      </c>
      <c r="W21" s="49">
        <f t="shared" si="10"/>
        <v>3350</v>
      </c>
      <c r="X21" s="9">
        <f t="shared" si="11"/>
        <v>3350</v>
      </c>
      <c r="Y21" s="100" t="s">
        <v>4</v>
      </c>
      <c r="Z21" s="100" t="s">
        <v>4</v>
      </c>
    </row>
    <row r="22" spans="2:26" x14ac:dyDescent="0.25">
      <c r="B22" s="95" t="s">
        <v>90</v>
      </c>
      <c r="C22" s="93"/>
      <c r="D22" s="93"/>
      <c r="E22" s="72">
        <f>N32</f>
        <v>5.516887245944898E-2</v>
      </c>
      <c r="F22" s="21"/>
      <c r="G22" s="23" t="s">
        <v>223</v>
      </c>
      <c r="H22" s="108">
        <f>'2025 P&amp;L Given'!O16</f>
        <v>5200</v>
      </c>
      <c r="I22" s="62">
        <f t="shared" si="7"/>
        <v>577.77777777777783</v>
      </c>
      <c r="J22" s="38"/>
      <c r="K22" s="108">
        <v>5200</v>
      </c>
      <c r="L22" s="62">
        <f t="shared" si="8"/>
        <v>577.77777777777783</v>
      </c>
      <c r="M22" s="38"/>
      <c r="N22" s="108">
        <f t="shared" si="13"/>
        <v>5200</v>
      </c>
      <c r="O22" s="62">
        <f t="shared" si="9"/>
        <v>577.77777777777783</v>
      </c>
      <c r="P22" s="38"/>
      <c r="R22" s="7" t="s">
        <v>215</v>
      </c>
      <c r="S22" s="7" t="s">
        <v>221</v>
      </c>
      <c r="T22" s="61" t="s">
        <v>322</v>
      </c>
      <c r="U22" s="61">
        <v>1052</v>
      </c>
      <c r="V22" s="61">
        <v>2039</v>
      </c>
      <c r="W22" s="49">
        <f t="shared" si="10"/>
        <v>2039</v>
      </c>
      <c r="X22" s="9">
        <f t="shared" si="11"/>
        <v>2039</v>
      </c>
      <c r="Y22" s="100" t="s">
        <v>4</v>
      </c>
      <c r="Z22" s="100" t="s">
        <v>4</v>
      </c>
    </row>
    <row r="23" spans="2:26" x14ac:dyDescent="0.25">
      <c r="B23" s="94" t="s">
        <v>87</v>
      </c>
      <c r="E23" s="71">
        <f>K33</f>
        <v>6.0017700386954115E-2</v>
      </c>
      <c r="F23" s="21"/>
      <c r="G23" s="23" t="s">
        <v>224</v>
      </c>
      <c r="H23" s="108">
        <f>'2025 P&amp;L Given'!O17</f>
        <v>12140</v>
      </c>
      <c r="I23" s="62">
        <f t="shared" si="7"/>
        <v>1348.8888888888889</v>
      </c>
      <c r="J23" s="38"/>
      <c r="K23" s="108">
        <v>12140</v>
      </c>
      <c r="L23" s="62">
        <f t="shared" si="8"/>
        <v>1348.8888888888889</v>
      </c>
      <c r="M23" s="38"/>
      <c r="N23" s="108">
        <f t="shared" si="13"/>
        <v>12140</v>
      </c>
      <c r="O23" s="62">
        <f t="shared" si="9"/>
        <v>1348.8888888888889</v>
      </c>
      <c r="P23" s="38"/>
      <c r="R23" s="7" t="s">
        <v>215</v>
      </c>
      <c r="S23" s="7" t="s">
        <v>222</v>
      </c>
      <c r="T23" s="61" t="s">
        <v>323</v>
      </c>
      <c r="U23" s="61">
        <v>1052</v>
      </c>
      <c r="V23" s="61">
        <v>1478</v>
      </c>
      <c r="W23" s="49">
        <f t="shared" si="10"/>
        <v>1478</v>
      </c>
      <c r="X23" s="9">
        <f t="shared" si="11"/>
        <v>1935</v>
      </c>
      <c r="Y23" s="100" t="s">
        <v>4</v>
      </c>
      <c r="Z23" s="100" t="s">
        <v>4</v>
      </c>
    </row>
    <row r="24" spans="2:26" x14ac:dyDescent="0.25">
      <c r="B24" s="95" t="s">
        <v>88</v>
      </c>
      <c r="C24" s="93"/>
      <c r="D24" s="93"/>
      <c r="E24" s="72">
        <f>N33</f>
        <v>6.8543537866224441E-2</v>
      </c>
      <c r="F24" s="21"/>
      <c r="G24" s="22" t="s">
        <v>58</v>
      </c>
      <c r="H24" s="39">
        <f>SUM(H16:H23)</f>
        <v>61175.32</v>
      </c>
      <c r="I24" s="39">
        <f>SUM(I16:I23)</f>
        <v>6797.2577777777769</v>
      </c>
      <c r="J24" s="41">
        <f>IFERROR(H24/H12,0)</f>
        <v>0.21554874353445239</v>
      </c>
      <c r="K24" s="39">
        <f>SUM(K16:K23)</f>
        <v>61175.32</v>
      </c>
      <c r="L24" s="39">
        <f>SUM(L16:L23)</f>
        <v>6797.2577777777769</v>
      </c>
      <c r="M24" s="41">
        <f>IFERROR(K24/K12,0)</f>
        <v>0.21980260374269331</v>
      </c>
      <c r="N24" s="39">
        <f>SUM(N16:N23)</f>
        <v>61175.32</v>
      </c>
      <c r="O24" s="39">
        <f>SUM(O16:O23)</f>
        <v>6797.2577777777769</v>
      </c>
      <c r="P24" s="41">
        <f>IFERROR(N24/N12,0)</f>
        <v>0.1978721840679423</v>
      </c>
      <c r="R24" s="7" t="s">
        <v>215</v>
      </c>
      <c r="S24" s="7" t="s">
        <v>214</v>
      </c>
      <c r="T24" s="61" t="s">
        <v>217</v>
      </c>
      <c r="U24" s="61">
        <v>1052</v>
      </c>
      <c r="V24" s="61">
        <v>2825</v>
      </c>
      <c r="W24" s="49">
        <f t="shared" si="10"/>
        <v>2825</v>
      </c>
      <c r="X24" s="9">
        <f t="shared" si="11"/>
        <v>3250</v>
      </c>
      <c r="Y24" s="100" t="s">
        <v>4</v>
      </c>
      <c r="Z24" s="100" t="s">
        <v>4</v>
      </c>
    </row>
    <row r="25" spans="2:26" x14ac:dyDescent="0.25">
      <c r="B25" s="18" t="s">
        <v>42</v>
      </c>
      <c r="D25" s="73"/>
      <c r="E25" s="73">
        <f>V12</f>
        <v>2542.8888888888887</v>
      </c>
      <c r="F25" s="21"/>
      <c r="G25" s="21"/>
      <c r="H25" s="37"/>
      <c r="J25" s="38"/>
      <c r="K25" s="37"/>
      <c r="M25" s="38"/>
      <c r="N25" s="37"/>
      <c r="P25" s="38"/>
      <c r="R25" s="30" t="s">
        <v>53</v>
      </c>
      <c r="S25" s="53"/>
      <c r="T25" s="53"/>
      <c r="U25" s="69">
        <f>SUM(U16:U24)</f>
        <v>8762</v>
      </c>
      <c r="V25" s="54">
        <f>SUM(V16:V24)</f>
        <v>22886</v>
      </c>
      <c r="W25" s="55">
        <f>SUM(W16:W24)</f>
        <v>23796</v>
      </c>
      <c r="X25" s="55">
        <f>SUM(X16:X24)</f>
        <v>25509</v>
      </c>
      <c r="Y25" s="14"/>
      <c r="Z25" s="14"/>
    </row>
    <row r="26" spans="2:26" x14ac:dyDescent="0.25">
      <c r="B26" s="18" t="s">
        <v>44</v>
      </c>
      <c r="D26" s="73"/>
      <c r="E26" s="73">
        <f>W12</f>
        <v>2644</v>
      </c>
      <c r="F26" s="21"/>
      <c r="G26" s="86" t="s">
        <v>61</v>
      </c>
      <c r="H26" s="89">
        <f>H12-H24</f>
        <v>222636.68</v>
      </c>
      <c r="I26" s="47"/>
      <c r="J26" s="87"/>
      <c r="K26" s="89">
        <f>K12-K24</f>
        <v>217144.03999999998</v>
      </c>
      <c r="L26" s="47"/>
      <c r="M26" s="87"/>
      <c r="N26" s="89">
        <f>N12-N24</f>
        <v>247990.52000000002</v>
      </c>
      <c r="O26" s="47"/>
      <c r="P26" s="87"/>
    </row>
    <row r="27" spans="2:26" x14ac:dyDescent="0.25">
      <c r="B27" s="18" t="s">
        <v>46</v>
      </c>
      <c r="D27" s="73"/>
      <c r="E27" s="73">
        <f>X12</f>
        <v>2834.3333333333335</v>
      </c>
      <c r="F27" s="21"/>
      <c r="H27" s="90"/>
      <c r="K27" s="90"/>
      <c r="N27" s="90"/>
    </row>
    <row r="28" spans="2:26" x14ac:dyDescent="0.25">
      <c r="B28" s="15" t="s">
        <v>47</v>
      </c>
      <c r="C28" s="10"/>
      <c r="D28" s="10"/>
      <c r="E28" s="10"/>
      <c r="F28" s="21"/>
      <c r="G28" s="30" t="s">
        <v>62</v>
      </c>
      <c r="H28" s="91"/>
      <c r="I28" s="39"/>
      <c r="J28" s="88"/>
      <c r="K28" s="91">
        <f>E40</f>
        <v>177484.70099682422</v>
      </c>
      <c r="L28" s="39"/>
      <c r="M28" s="88"/>
      <c r="N28" s="91">
        <f>E40</f>
        <v>177484.70099682422</v>
      </c>
      <c r="O28" s="39"/>
      <c r="P28" s="88"/>
    </row>
    <row r="29" spans="2:26" ht="15" thickBot="1" x14ac:dyDescent="0.3">
      <c r="B29" s="27" t="s">
        <v>49</v>
      </c>
      <c r="C29" s="11" t="s">
        <v>31</v>
      </c>
      <c r="D29" s="11" t="s">
        <v>33</v>
      </c>
      <c r="E29" s="11" t="s">
        <v>50</v>
      </c>
      <c r="F29" s="21"/>
      <c r="H29" s="90"/>
      <c r="K29" s="90"/>
      <c r="N29" s="90"/>
    </row>
    <row r="30" spans="2:26" x14ac:dyDescent="0.25">
      <c r="B30" s="28">
        <v>5.5E-2</v>
      </c>
      <c r="C30" s="37">
        <f t="shared" ref="C30:C34" si="14">IFERROR(E30/$E$11,0)</f>
        <v>438674.82828282821</v>
      </c>
      <c r="D30" s="37">
        <f t="shared" ref="D30:D34" si="15">IFERROR(E30/$E$10,0)</f>
        <v>450.59044219875074</v>
      </c>
      <c r="E30" s="73">
        <f>$K$26/B30</f>
        <v>3948073.4545454541</v>
      </c>
      <c r="F30" s="21"/>
      <c r="G30" s="86" t="s">
        <v>63</v>
      </c>
      <c r="H30" s="89"/>
      <c r="I30" s="47"/>
      <c r="J30" s="87"/>
      <c r="K30" s="89">
        <f>K26-K28</f>
        <v>39659.339003175759</v>
      </c>
      <c r="L30" s="47"/>
      <c r="M30" s="87"/>
      <c r="N30" s="89">
        <f>N26-N28</f>
        <v>70505.819003175799</v>
      </c>
      <c r="O30" s="47"/>
      <c r="P30" s="87"/>
    </row>
    <row r="31" spans="2:26" x14ac:dyDescent="0.25">
      <c r="B31" s="29">
        <f>B30+0.25%</f>
        <v>5.7500000000000002E-2</v>
      </c>
      <c r="C31" s="37">
        <f t="shared" si="14"/>
        <v>419602.00966183568</v>
      </c>
      <c r="D31" s="37">
        <f t="shared" si="15"/>
        <v>430.99955340750068</v>
      </c>
      <c r="E31" s="73">
        <f>$K$26/B31</f>
        <v>3776418.086956521</v>
      </c>
      <c r="F31" s="21"/>
    </row>
    <row r="32" spans="2:26" x14ac:dyDescent="0.25">
      <c r="B32" s="171">
        <f t="shared" ref="B32:B34" si="16">B31+0.25%</f>
        <v>6.0000000000000005E-2</v>
      </c>
      <c r="C32" s="172">
        <f t="shared" si="14"/>
        <v>402118.59259259253</v>
      </c>
      <c r="D32" s="172">
        <f t="shared" si="15"/>
        <v>413.04123868218812</v>
      </c>
      <c r="E32" s="173">
        <f>$K$26/B32</f>
        <v>3619067.3333333326</v>
      </c>
      <c r="F32" s="21"/>
      <c r="G32" s="16" t="s">
        <v>74</v>
      </c>
      <c r="K32" s="48">
        <f>K30/E51</f>
        <v>3.1032346637852707E-2</v>
      </c>
      <c r="L32" s="48"/>
      <c r="N32" s="48">
        <f>N30/E51</f>
        <v>5.516887245944898E-2</v>
      </c>
    </row>
    <row r="33" spans="2:17" x14ac:dyDescent="0.25">
      <c r="B33" s="29">
        <f t="shared" si="16"/>
        <v>6.25E-2</v>
      </c>
      <c r="C33" s="37">
        <f t="shared" si="14"/>
        <v>386033.84888888884</v>
      </c>
      <c r="D33" s="37">
        <f t="shared" si="15"/>
        <v>396.51958913490068</v>
      </c>
      <c r="E33" s="73">
        <f>$K$26/B33</f>
        <v>3474304.6399999997</v>
      </c>
      <c r="F33" s="21"/>
      <c r="G33" s="16" t="s">
        <v>75</v>
      </c>
      <c r="K33" s="48">
        <f>K26/E52</f>
        <v>6.0017700386954115E-2</v>
      </c>
      <c r="L33" s="48"/>
      <c r="N33" s="48">
        <f>N26/E52</f>
        <v>6.8543537866224441E-2</v>
      </c>
    </row>
    <row r="34" spans="2:17" x14ac:dyDescent="0.25">
      <c r="B34" s="29">
        <f t="shared" si="16"/>
        <v>6.5000000000000002E-2</v>
      </c>
      <c r="C34" s="37">
        <f t="shared" si="14"/>
        <v>371186.39316239313</v>
      </c>
      <c r="D34" s="37">
        <f t="shared" si="15"/>
        <v>381.26883570663523</v>
      </c>
      <c r="E34" s="73">
        <f>$K$26/B34</f>
        <v>3340677.538461538</v>
      </c>
      <c r="F34" s="21"/>
    </row>
    <row r="35" spans="2:17" x14ac:dyDescent="0.25">
      <c r="B35" s="15" t="s">
        <v>54</v>
      </c>
      <c r="C35" s="10"/>
      <c r="D35" s="10"/>
      <c r="E35" s="10"/>
      <c r="F35" s="21"/>
    </row>
    <row r="36" spans="2:17" x14ac:dyDescent="0.25">
      <c r="B36" s="16" t="s">
        <v>55</v>
      </c>
      <c r="E36" s="83">
        <v>0.65</v>
      </c>
      <c r="F36" s="21"/>
    </row>
    <row r="37" spans="2:17" x14ac:dyDescent="0.25">
      <c r="B37" s="16" t="s">
        <v>56</v>
      </c>
      <c r="E37" s="84">
        <v>1.2</v>
      </c>
      <c r="F37" s="21"/>
    </row>
    <row r="38" spans="2:17" x14ac:dyDescent="0.25">
      <c r="B38" s="16" t="s">
        <v>57</v>
      </c>
      <c r="E38" s="85">
        <v>6.5000000000000002E-2</v>
      </c>
      <c r="F38" s="21"/>
    </row>
    <row r="39" spans="2:17" x14ac:dyDescent="0.25">
      <c r="B39" s="16" t="s">
        <v>59</v>
      </c>
      <c r="E39" s="12">
        <v>30</v>
      </c>
      <c r="F39" s="21"/>
    </row>
    <row r="40" spans="2:17" x14ac:dyDescent="0.25">
      <c r="B40" s="16" t="s">
        <v>60</v>
      </c>
      <c r="E40" s="96">
        <f>IFERROR(PMT(E38/12,E39*12,-(MIN(E36*E14,K26/E37/(PMT(E38/12,E39*12,-1)*12))),0)*12,0)</f>
        <v>177484.70099682422</v>
      </c>
      <c r="F40" s="21"/>
    </row>
    <row r="41" spans="2:17" x14ac:dyDescent="0.25">
      <c r="F41" s="21"/>
    </row>
    <row r="42" spans="2:17" x14ac:dyDescent="0.25">
      <c r="B42" s="16" t="s">
        <v>64</v>
      </c>
      <c r="E42" s="73">
        <f>IFERROR(E14-E43,0)</f>
        <v>1260000</v>
      </c>
      <c r="F42" s="21"/>
    </row>
    <row r="43" spans="2:17" x14ac:dyDescent="0.25">
      <c r="B43" s="16" t="s">
        <v>65</v>
      </c>
      <c r="E43" s="97">
        <f>IFERROR(MIN(E36*E14,K26/E37/(PMT(E38/12,E39*12,-1)*12)),0)</f>
        <v>2340000</v>
      </c>
      <c r="F43" s="21"/>
    </row>
    <row r="44" spans="2:17" x14ac:dyDescent="0.25">
      <c r="B44" s="16" t="s">
        <v>66</v>
      </c>
      <c r="E44" s="98">
        <f>IFERROR(E43/E14,0)</f>
        <v>0.65</v>
      </c>
      <c r="F44" s="21"/>
      <c r="Q44" s="92"/>
    </row>
    <row r="45" spans="2:17" x14ac:dyDescent="0.25">
      <c r="B45" s="16" t="s">
        <v>67</v>
      </c>
      <c r="E45" s="106">
        <f>IFERROR(K26/K28,0)</f>
        <v>1.2234521554840121</v>
      </c>
      <c r="F45" s="21"/>
      <c r="Q45" s="92"/>
    </row>
    <row r="46" spans="2:17" x14ac:dyDescent="0.25">
      <c r="F46" s="21"/>
      <c r="Q46" s="92"/>
    </row>
    <row r="47" spans="2:17" x14ac:dyDescent="0.25">
      <c r="B47" s="16" t="s">
        <v>68</v>
      </c>
      <c r="C47" s="73"/>
      <c r="D47" s="156">
        <v>5.0000000000000001E-3</v>
      </c>
      <c r="E47" s="73">
        <f>E14*D47</f>
        <v>18000</v>
      </c>
      <c r="F47" s="21"/>
      <c r="Q47" s="92"/>
    </row>
    <row r="48" spans="2:17" x14ac:dyDescent="0.25">
      <c r="B48" s="16" t="s">
        <v>69</v>
      </c>
      <c r="C48" s="73"/>
      <c r="D48" s="99"/>
      <c r="E48" s="77">
        <v>0</v>
      </c>
      <c r="F48" s="21"/>
      <c r="Q48" s="92"/>
    </row>
    <row r="49" spans="2:5" x14ac:dyDescent="0.25">
      <c r="B49" s="16" t="s">
        <v>70</v>
      </c>
      <c r="C49" s="77">
        <v>0</v>
      </c>
      <c r="D49" s="83">
        <v>0</v>
      </c>
      <c r="E49" s="101">
        <f>E11*C49*D49</f>
        <v>0</v>
      </c>
    </row>
    <row r="50" spans="2:5" x14ac:dyDescent="0.25">
      <c r="B50" s="16" t="s">
        <v>71</v>
      </c>
      <c r="C50" s="73"/>
      <c r="D50" s="99"/>
      <c r="E50" s="77">
        <v>0</v>
      </c>
    </row>
    <row r="51" spans="2:5" x14ac:dyDescent="0.25">
      <c r="B51" s="16" t="s">
        <v>72</v>
      </c>
      <c r="C51" s="73"/>
      <c r="D51" s="99"/>
      <c r="E51" s="73">
        <f>SUM(E47:E50)+E42</f>
        <v>1278000</v>
      </c>
    </row>
    <row r="52" spans="2:5" x14ac:dyDescent="0.25">
      <c r="B52" s="16" t="s">
        <v>73</v>
      </c>
      <c r="C52" s="73"/>
      <c r="D52" s="99"/>
      <c r="E52" s="73">
        <f>E14+SUM(E47:E50)</f>
        <v>3618000</v>
      </c>
    </row>
    <row r="55" spans="2:5" x14ac:dyDescent="0.25">
      <c r="B55" s="15" t="s">
        <v>76</v>
      </c>
      <c r="C55" s="10"/>
      <c r="D55" s="10"/>
      <c r="E55" s="10"/>
    </row>
    <row r="56" spans="2:5" x14ac:dyDescent="0.25">
      <c r="B56" s="16" t="s">
        <v>77</v>
      </c>
      <c r="E56" s="105">
        <v>27.39</v>
      </c>
    </row>
    <row r="57" spans="2:5" x14ac:dyDescent="0.25">
      <c r="B57" s="16" t="s">
        <v>78</v>
      </c>
      <c r="E57" s="104" t="s">
        <v>4</v>
      </c>
    </row>
    <row r="58" spans="2:5" x14ac:dyDescent="0.25">
      <c r="B58" s="16" t="s">
        <v>80</v>
      </c>
      <c r="E58" s="77" t="s">
        <v>4</v>
      </c>
    </row>
    <row r="59" spans="2:5" x14ac:dyDescent="0.25">
      <c r="B59" s="16" t="s">
        <v>81</v>
      </c>
      <c r="E59" s="73" t="e">
        <f>E58/0.7</f>
        <v>#VALUE!</v>
      </c>
    </row>
    <row r="60" spans="2:5" x14ac:dyDescent="0.25">
      <c r="B60" s="16" t="s">
        <v>82</v>
      </c>
      <c r="E60" s="77" t="s">
        <v>4</v>
      </c>
    </row>
    <row r="61" spans="2:5" x14ac:dyDescent="0.25">
      <c r="B61" s="16" t="s">
        <v>84</v>
      </c>
      <c r="E61" s="73" t="e">
        <f>E58-E60</f>
        <v>#VALUE!</v>
      </c>
    </row>
    <row r="62" spans="2:5" x14ac:dyDescent="0.25">
      <c r="B62" s="16" t="s">
        <v>83</v>
      </c>
      <c r="E62" s="107" t="e">
        <f>E61*E56/1000</f>
        <v>#VALUE!</v>
      </c>
    </row>
  </sheetData>
  <mergeCells count="4">
    <mergeCell ref="K2:M2"/>
    <mergeCell ref="N2:P2"/>
    <mergeCell ref="K14:M14"/>
    <mergeCell ref="N14:P14"/>
  </mergeCells>
  <pageMargins left="0.7" right="0.7" top="0.75" bottom="0.75" header="0.3" footer="0.3"/>
  <pageSetup orientation="portrait" horizontalDpi="1200" verticalDpi="1200" r:id="rId1"/>
  <ignoredErrors>
    <ignoredError sqref="J2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8ED5-8B29-4CC9-B06F-4DA8835EC025}">
  <dimension ref="A1:O21"/>
  <sheetViews>
    <sheetView workbookViewId="0">
      <selection activeCell="O19" sqref="O19"/>
    </sheetView>
  </sheetViews>
  <sheetFormatPr defaultColWidth="8.7109375" defaultRowHeight="15" x14ac:dyDescent="0.25"/>
  <cols>
    <col min="1" max="1" width="2" customWidth="1"/>
    <col min="2" max="2" width="26" customWidth="1"/>
    <col min="3" max="14" width="10" customWidth="1"/>
    <col min="15" max="15" width="14" customWidth="1"/>
    <col min="16" max="16" width="2" customWidth="1"/>
  </cols>
  <sheetData>
    <row r="1" spans="1:15" x14ac:dyDescent="0.25">
      <c r="A1" s="175" t="s">
        <v>93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</row>
    <row r="2" spans="1:15" ht="23.25" x14ac:dyDescent="0.25">
      <c r="A2" s="176" t="s">
        <v>94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</row>
    <row r="3" spans="1:15" x14ac:dyDescent="0.25">
      <c r="A3" s="177" t="s">
        <v>95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</row>
    <row r="4" spans="1:15" x14ac:dyDescent="0.25">
      <c r="A4" s="178"/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</row>
    <row r="6" spans="1:15" x14ac:dyDescent="0.25">
      <c r="B6" s="109"/>
      <c r="C6" s="110" t="s">
        <v>96</v>
      </c>
      <c r="D6" s="110" t="s">
        <v>97</v>
      </c>
      <c r="E6" s="110" t="s">
        <v>98</v>
      </c>
      <c r="F6" s="110" t="s">
        <v>99</v>
      </c>
      <c r="G6" s="110" t="s">
        <v>100</v>
      </c>
      <c r="H6" s="110" t="s">
        <v>101</v>
      </c>
      <c r="I6" s="110" t="s">
        <v>102</v>
      </c>
      <c r="J6" s="110" t="s">
        <v>103</v>
      </c>
      <c r="K6" s="110" t="s">
        <v>104</v>
      </c>
      <c r="L6" s="110" t="s">
        <v>105</v>
      </c>
      <c r="M6" s="110" t="s">
        <v>106</v>
      </c>
      <c r="N6" s="110" t="s">
        <v>107</v>
      </c>
      <c r="O6" s="111" t="s">
        <v>108</v>
      </c>
    </row>
    <row r="7" spans="1:15" x14ac:dyDescent="0.25">
      <c r="A7" s="175" t="s">
        <v>109</v>
      </c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</row>
    <row r="8" spans="1:15" x14ac:dyDescent="0.25">
      <c r="B8" s="112" t="s">
        <v>110</v>
      </c>
      <c r="C8" s="113">
        <v>23000</v>
      </c>
      <c r="D8" s="113">
        <v>23000</v>
      </c>
      <c r="E8" s="113">
        <v>23000</v>
      </c>
      <c r="F8" s="113">
        <v>23000</v>
      </c>
      <c r="G8" s="113">
        <v>23000</v>
      </c>
      <c r="H8" s="113">
        <v>23000</v>
      </c>
      <c r="I8" s="113">
        <v>23000</v>
      </c>
      <c r="J8" s="113">
        <v>23000</v>
      </c>
      <c r="K8" s="113">
        <v>23000</v>
      </c>
      <c r="L8" s="113">
        <v>23000</v>
      </c>
      <c r="M8" s="113">
        <v>23000</v>
      </c>
      <c r="N8" s="113">
        <v>23000</v>
      </c>
      <c r="O8" s="114">
        <f>SUM(C8:N8)</f>
        <v>276000</v>
      </c>
    </row>
    <row r="9" spans="1:15" x14ac:dyDescent="0.25">
      <c r="B9" s="112" t="s">
        <v>111</v>
      </c>
      <c r="C9" s="113">
        <v>-2311</v>
      </c>
      <c r="D9" s="113">
        <v>-2311</v>
      </c>
      <c r="E9" s="113">
        <v>-2311</v>
      </c>
      <c r="F9" s="113">
        <v>-2311</v>
      </c>
      <c r="G9" s="113">
        <v>-2311</v>
      </c>
      <c r="H9" s="113">
        <v>-2311</v>
      </c>
      <c r="I9" s="113">
        <v>-2311</v>
      </c>
      <c r="J9" s="113">
        <v>-2311</v>
      </c>
      <c r="K9" s="113">
        <v>-2311</v>
      </c>
      <c r="L9" s="113">
        <v>-2311</v>
      </c>
      <c r="M9" s="113">
        <v>-2311</v>
      </c>
      <c r="N9" s="113">
        <v>-2311</v>
      </c>
      <c r="O9" s="114">
        <f>SUM(C9:N9)</f>
        <v>-27732</v>
      </c>
    </row>
    <row r="10" spans="1:15" x14ac:dyDescent="0.25">
      <c r="B10" s="115" t="s">
        <v>41</v>
      </c>
      <c r="C10" s="116">
        <f t="shared" ref="C10:N10" si="0">SUM(C8:C9)</f>
        <v>20689</v>
      </c>
      <c r="D10" s="116">
        <f t="shared" si="0"/>
        <v>20689</v>
      </c>
      <c r="E10" s="116">
        <f t="shared" si="0"/>
        <v>20689</v>
      </c>
      <c r="F10" s="116">
        <f t="shared" si="0"/>
        <v>20689</v>
      </c>
      <c r="G10" s="116">
        <f t="shared" si="0"/>
        <v>20689</v>
      </c>
      <c r="H10" s="116">
        <f t="shared" si="0"/>
        <v>20689</v>
      </c>
      <c r="I10" s="116">
        <f t="shared" si="0"/>
        <v>20689</v>
      </c>
      <c r="J10" s="116">
        <f t="shared" si="0"/>
        <v>20689</v>
      </c>
      <c r="K10" s="116">
        <f t="shared" si="0"/>
        <v>20689</v>
      </c>
      <c r="L10" s="116">
        <f t="shared" si="0"/>
        <v>20689</v>
      </c>
      <c r="M10" s="116">
        <f t="shared" si="0"/>
        <v>20689</v>
      </c>
      <c r="N10" s="116">
        <f t="shared" si="0"/>
        <v>20689</v>
      </c>
      <c r="O10" s="117">
        <f>SUM(C10:N10)</f>
        <v>248268</v>
      </c>
    </row>
    <row r="12" spans="1:15" x14ac:dyDescent="0.25">
      <c r="A12" s="175" t="s">
        <v>112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</row>
    <row r="13" spans="1:15" x14ac:dyDescent="0.25">
      <c r="B13" s="112" t="s">
        <v>113</v>
      </c>
      <c r="C13" s="113">
        <v>360</v>
      </c>
      <c r="D13" s="113">
        <v>360</v>
      </c>
      <c r="E13" s="113">
        <v>360</v>
      </c>
      <c r="F13" s="113">
        <v>360</v>
      </c>
      <c r="G13" s="113">
        <v>360</v>
      </c>
      <c r="H13" s="113">
        <v>360</v>
      </c>
      <c r="I13" s="113">
        <v>360</v>
      </c>
      <c r="J13" s="113">
        <v>360</v>
      </c>
      <c r="K13" s="113">
        <v>360</v>
      </c>
      <c r="L13" s="113">
        <v>360</v>
      </c>
      <c r="M13" s="113">
        <v>360</v>
      </c>
      <c r="N13" s="113">
        <v>360</v>
      </c>
      <c r="O13" s="114">
        <f t="shared" ref="O13:O21" si="1">SUM(C13:N13)</f>
        <v>4320</v>
      </c>
    </row>
    <row r="14" spans="1:15" x14ac:dyDescent="0.25">
      <c r="B14" s="112" t="s">
        <v>114</v>
      </c>
      <c r="C14" s="113">
        <v>58</v>
      </c>
      <c r="D14" s="113">
        <v>58</v>
      </c>
      <c r="E14" s="113">
        <v>58</v>
      </c>
      <c r="F14" s="113">
        <v>58</v>
      </c>
      <c r="G14" s="113">
        <v>58</v>
      </c>
      <c r="H14" s="113">
        <v>58</v>
      </c>
      <c r="I14" s="113">
        <v>58</v>
      </c>
      <c r="J14" s="113">
        <v>58</v>
      </c>
      <c r="K14" s="113">
        <v>58</v>
      </c>
      <c r="L14" s="113">
        <v>58</v>
      </c>
      <c r="M14" s="113">
        <v>58</v>
      </c>
      <c r="N14" s="113">
        <v>58</v>
      </c>
      <c r="O14" s="114">
        <f t="shared" si="1"/>
        <v>696</v>
      </c>
    </row>
    <row r="15" spans="1:15" x14ac:dyDescent="0.25">
      <c r="B15" s="112" t="s">
        <v>115</v>
      </c>
      <c r="C15" s="113">
        <v>360</v>
      </c>
      <c r="D15" s="113">
        <v>360</v>
      </c>
      <c r="E15" s="113">
        <v>360</v>
      </c>
      <c r="F15" s="113">
        <v>360</v>
      </c>
      <c r="G15" s="113">
        <v>360</v>
      </c>
      <c r="H15" s="113">
        <v>360</v>
      </c>
      <c r="I15" s="113">
        <v>360</v>
      </c>
      <c r="J15" s="113">
        <v>360</v>
      </c>
      <c r="K15" s="113">
        <v>360</v>
      </c>
      <c r="L15" s="113">
        <v>360</v>
      </c>
      <c r="M15" s="113">
        <v>360</v>
      </c>
      <c r="N15" s="113">
        <v>360</v>
      </c>
      <c r="O15" s="114">
        <f t="shared" si="1"/>
        <v>4320</v>
      </c>
    </row>
    <row r="16" spans="1:15" x14ac:dyDescent="0.25">
      <c r="B16" s="112" t="s">
        <v>116</v>
      </c>
      <c r="C16" s="113"/>
      <c r="D16" s="113"/>
      <c r="E16" s="113"/>
      <c r="F16" s="113">
        <v>650</v>
      </c>
      <c r="G16" s="113">
        <v>650</v>
      </c>
      <c r="H16" s="113">
        <v>650</v>
      </c>
      <c r="I16" s="113">
        <v>650</v>
      </c>
      <c r="J16" s="113">
        <v>650</v>
      </c>
      <c r="K16" s="113">
        <v>650</v>
      </c>
      <c r="L16" s="113">
        <v>650</v>
      </c>
      <c r="M16" s="113">
        <v>650</v>
      </c>
      <c r="N16" s="113"/>
      <c r="O16" s="114">
        <f t="shared" si="1"/>
        <v>5200</v>
      </c>
    </row>
    <row r="17" spans="2:15" x14ac:dyDescent="0.25">
      <c r="B17" s="112" t="s">
        <v>117</v>
      </c>
      <c r="C17" s="113">
        <v>3180</v>
      </c>
      <c r="D17" s="113">
        <v>3180</v>
      </c>
      <c r="E17" s="113">
        <v>3180</v>
      </c>
      <c r="F17" s="113"/>
      <c r="G17" s="113"/>
      <c r="H17" s="113"/>
      <c r="I17" s="113"/>
      <c r="J17" s="113"/>
      <c r="K17" s="113"/>
      <c r="L17" s="113"/>
      <c r="M17" s="113"/>
      <c r="N17" s="113">
        <v>2600</v>
      </c>
      <c r="O17" s="114">
        <f t="shared" si="1"/>
        <v>12140</v>
      </c>
    </row>
    <row r="18" spans="2:15" x14ac:dyDescent="0.25">
      <c r="B18" s="112" t="s">
        <v>118</v>
      </c>
      <c r="C18" s="113">
        <v>365</v>
      </c>
      <c r="D18" s="113">
        <v>365</v>
      </c>
      <c r="E18" s="113">
        <v>365</v>
      </c>
      <c r="F18" s="113">
        <v>365</v>
      </c>
      <c r="G18" s="113">
        <v>365</v>
      </c>
      <c r="H18" s="113">
        <v>365</v>
      </c>
      <c r="I18" s="113">
        <v>365</v>
      </c>
      <c r="J18" s="113">
        <v>365</v>
      </c>
      <c r="K18" s="113">
        <v>365</v>
      </c>
      <c r="L18" s="113">
        <v>365</v>
      </c>
      <c r="M18" s="113">
        <v>365</v>
      </c>
      <c r="N18" s="113">
        <v>365</v>
      </c>
      <c r="O18" s="114">
        <f t="shared" si="1"/>
        <v>4380</v>
      </c>
    </row>
    <row r="19" spans="2:15" x14ac:dyDescent="0.25">
      <c r="B19" s="112" t="s">
        <v>119</v>
      </c>
      <c r="C19" s="113">
        <v>198</v>
      </c>
      <c r="D19" s="113">
        <v>198</v>
      </c>
      <c r="E19" s="113">
        <v>198</v>
      </c>
      <c r="F19" s="113">
        <v>198</v>
      </c>
      <c r="G19" s="113">
        <v>198</v>
      </c>
      <c r="H19" s="113">
        <v>198</v>
      </c>
      <c r="I19" s="113">
        <v>198</v>
      </c>
      <c r="J19" s="113">
        <v>198</v>
      </c>
      <c r="K19" s="113">
        <v>198</v>
      </c>
      <c r="L19" s="113">
        <v>198</v>
      </c>
      <c r="M19" s="113">
        <v>198</v>
      </c>
      <c r="N19" s="113">
        <v>198</v>
      </c>
      <c r="O19" s="114">
        <f t="shared" si="1"/>
        <v>2376</v>
      </c>
    </row>
    <row r="20" spans="2:15" x14ac:dyDescent="0.25">
      <c r="B20" s="118" t="s">
        <v>120</v>
      </c>
      <c r="C20" s="119">
        <f t="shared" ref="C20:N20" si="2">SUM(C13:C19)</f>
        <v>4521</v>
      </c>
      <c r="D20" s="119">
        <f t="shared" si="2"/>
        <v>4521</v>
      </c>
      <c r="E20" s="119">
        <f t="shared" si="2"/>
        <v>4521</v>
      </c>
      <c r="F20" s="119">
        <f t="shared" si="2"/>
        <v>1991</v>
      </c>
      <c r="G20" s="119">
        <f t="shared" si="2"/>
        <v>1991</v>
      </c>
      <c r="H20" s="119">
        <f t="shared" si="2"/>
        <v>1991</v>
      </c>
      <c r="I20" s="119">
        <f t="shared" si="2"/>
        <v>1991</v>
      </c>
      <c r="J20" s="119">
        <f t="shared" si="2"/>
        <v>1991</v>
      </c>
      <c r="K20" s="119">
        <f t="shared" si="2"/>
        <v>1991</v>
      </c>
      <c r="L20" s="119">
        <f t="shared" si="2"/>
        <v>1991</v>
      </c>
      <c r="M20" s="119">
        <f t="shared" si="2"/>
        <v>1991</v>
      </c>
      <c r="N20" s="119">
        <f t="shared" si="2"/>
        <v>3941</v>
      </c>
      <c r="O20" s="120">
        <f t="shared" si="1"/>
        <v>33432</v>
      </c>
    </row>
    <row r="21" spans="2:15" x14ac:dyDescent="0.25">
      <c r="B21" s="121" t="s">
        <v>121</v>
      </c>
      <c r="C21" s="122">
        <f t="shared" ref="C21:N21" si="3">C10-C20</f>
        <v>16168</v>
      </c>
      <c r="D21" s="122">
        <f t="shared" si="3"/>
        <v>16168</v>
      </c>
      <c r="E21" s="122">
        <f t="shared" si="3"/>
        <v>16168</v>
      </c>
      <c r="F21" s="122">
        <f t="shared" si="3"/>
        <v>18698</v>
      </c>
      <c r="G21" s="122">
        <f t="shared" si="3"/>
        <v>18698</v>
      </c>
      <c r="H21" s="122">
        <f t="shared" si="3"/>
        <v>18698</v>
      </c>
      <c r="I21" s="122">
        <f t="shared" si="3"/>
        <v>18698</v>
      </c>
      <c r="J21" s="122">
        <f t="shared" si="3"/>
        <v>18698</v>
      </c>
      <c r="K21" s="122">
        <f t="shared" si="3"/>
        <v>18698</v>
      </c>
      <c r="L21" s="122">
        <f t="shared" si="3"/>
        <v>18698</v>
      </c>
      <c r="M21" s="122">
        <f t="shared" si="3"/>
        <v>18698</v>
      </c>
      <c r="N21" s="122">
        <f t="shared" si="3"/>
        <v>16748</v>
      </c>
      <c r="O21" s="123">
        <f t="shared" si="1"/>
        <v>214836</v>
      </c>
    </row>
  </sheetData>
  <mergeCells count="6">
    <mergeCell ref="A12:O12"/>
    <mergeCell ref="A1:O1"/>
    <mergeCell ref="A2:O2"/>
    <mergeCell ref="A3:O3"/>
    <mergeCell ref="A4:O4"/>
    <mergeCell ref="A7:O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6101-641E-4C9E-B303-8ED232DE51BE}">
  <dimension ref="A1:J28"/>
  <sheetViews>
    <sheetView workbookViewId="0">
      <selection activeCell="F26" sqref="F26"/>
    </sheetView>
  </sheetViews>
  <sheetFormatPr defaultColWidth="8.7109375" defaultRowHeight="15" x14ac:dyDescent="0.25"/>
  <cols>
    <col min="1" max="1" width="2" customWidth="1"/>
    <col min="2" max="2" width="30" customWidth="1"/>
    <col min="3" max="3" width="21" bestFit="1" customWidth="1"/>
    <col min="4" max="4" width="19.7109375" bestFit="1" customWidth="1"/>
    <col min="5" max="7" width="14" customWidth="1"/>
    <col min="8" max="8" width="12" customWidth="1"/>
    <col min="9" max="9" width="9.7109375" bestFit="1" customWidth="1"/>
    <col min="10" max="10" width="12.140625" bestFit="1" customWidth="1"/>
  </cols>
  <sheetData>
    <row r="1" spans="1:10" x14ac:dyDescent="0.25">
      <c r="A1" s="175" t="s">
        <v>93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0" ht="23.25" x14ac:dyDescent="0.25">
      <c r="A2" s="176" t="s">
        <v>35</v>
      </c>
      <c r="B2" s="176"/>
      <c r="C2" s="176"/>
      <c r="D2" s="176"/>
      <c r="E2" s="176"/>
      <c r="F2" s="176"/>
      <c r="G2" s="176"/>
      <c r="H2" s="176"/>
      <c r="I2" s="176"/>
      <c r="J2" s="176"/>
    </row>
    <row r="3" spans="1:10" x14ac:dyDescent="0.25">
      <c r="A3" s="177" t="s">
        <v>122</v>
      </c>
      <c r="B3" s="177"/>
      <c r="C3" s="177"/>
      <c r="D3" s="177"/>
      <c r="E3" s="177"/>
      <c r="F3" s="177"/>
      <c r="G3" s="177"/>
      <c r="H3" s="177"/>
      <c r="I3" s="177"/>
      <c r="J3" s="177"/>
    </row>
    <row r="4" spans="1:10" x14ac:dyDescent="0.25">
      <c r="A4" s="178"/>
      <c r="B4" s="178"/>
      <c r="C4" s="178"/>
      <c r="D4" s="178"/>
      <c r="E4" s="178"/>
      <c r="F4" s="178"/>
      <c r="G4" s="178"/>
      <c r="H4" s="178"/>
      <c r="I4" s="178"/>
      <c r="J4" s="178"/>
    </row>
    <row r="6" spans="1:10" ht="25.5" x14ac:dyDescent="0.25">
      <c r="B6" s="124" t="s">
        <v>123</v>
      </c>
      <c r="C6" s="124" t="s">
        <v>10</v>
      </c>
      <c r="D6" s="124" t="s">
        <v>124</v>
      </c>
      <c r="E6" s="124" t="s">
        <v>125</v>
      </c>
      <c r="F6" s="124" t="s">
        <v>39</v>
      </c>
      <c r="G6" s="124" t="s">
        <v>40</v>
      </c>
      <c r="H6" s="124" t="s">
        <v>126</v>
      </c>
      <c r="I6" s="124" t="s">
        <v>127</v>
      </c>
      <c r="J6" s="124" t="s">
        <v>128</v>
      </c>
    </row>
    <row r="7" spans="1:10" x14ac:dyDescent="0.25">
      <c r="B7" s="125" t="s">
        <v>130</v>
      </c>
      <c r="C7" s="125" t="s">
        <v>226</v>
      </c>
      <c r="D7" s="125" t="s">
        <v>131</v>
      </c>
      <c r="E7" s="125" t="s">
        <v>132</v>
      </c>
      <c r="F7" s="126">
        <v>45509</v>
      </c>
      <c r="G7" s="126">
        <v>46234</v>
      </c>
      <c r="H7" s="125" t="s">
        <v>133</v>
      </c>
      <c r="I7" s="127">
        <v>2995</v>
      </c>
      <c r="J7" s="127">
        <f t="shared" ref="J7:J15" si="0">I7*12</f>
        <v>35940</v>
      </c>
    </row>
    <row r="8" spans="1:10" x14ac:dyDescent="0.25">
      <c r="B8" s="125" t="s">
        <v>134</v>
      </c>
      <c r="C8" s="125" t="s">
        <v>219</v>
      </c>
      <c r="D8" s="125" t="s">
        <v>135</v>
      </c>
      <c r="E8" s="125" t="s">
        <v>132</v>
      </c>
      <c r="F8" s="126">
        <v>45280</v>
      </c>
      <c r="G8" s="126">
        <v>46387</v>
      </c>
      <c r="H8" s="125" t="s">
        <v>133</v>
      </c>
      <c r="I8" s="127">
        <v>2875</v>
      </c>
      <c r="J8" s="127">
        <f t="shared" si="0"/>
        <v>34500</v>
      </c>
    </row>
    <row r="9" spans="1:10" x14ac:dyDescent="0.25">
      <c r="B9" s="128" t="s">
        <v>136</v>
      </c>
      <c r="C9" s="128" t="s">
        <v>219</v>
      </c>
      <c r="D9" s="128" t="s">
        <v>137</v>
      </c>
      <c r="E9" s="128" t="s">
        <v>138</v>
      </c>
      <c r="F9" s="129">
        <v>44986</v>
      </c>
      <c r="G9" s="129">
        <v>46446</v>
      </c>
      <c r="H9" s="128" t="s">
        <v>133</v>
      </c>
      <c r="I9" s="130">
        <v>1534</v>
      </c>
      <c r="J9" s="130">
        <f t="shared" si="0"/>
        <v>18408</v>
      </c>
    </row>
    <row r="10" spans="1:10" x14ac:dyDescent="0.25">
      <c r="B10" s="125" t="s">
        <v>139</v>
      </c>
      <c r="C10" s="125" t="s">
        <v>216</v>
      </c>
      <c r="D10" s="125" t="s">
        <v>140</v>
      </c>
      <c r="E10" s="125" t="s">
        <v>132</v>
      </c>
      <c r="F10" s="126">
        <v>43258</v>
      </c>
      <c r="G10" s="126">
        <v>46538</v>
      </c>
      <c r="H10" s="125" t="s">
        <v>133</v>
      </c>
      <c r="I10" s="127">
        <v>2895</v>
      </c>
      <c r="J10" s="127">
        <f t="shared" si="0"/>
        <v>34740</v>
      </c>
    </row>
    <row r="11" spans="1:10" x14ac:dyDescent="0.25">
      <c r="B11" s="125" t="s">
        <v>141</v>
      </c>
      <c r="C11" s="125" t="s">
        <v>216</v>
      </c>
      <c r="D11" s="125" t="s">
        <v>142</v>
      </c>
      <c r="E11" s="125" t="s">
        <v>132</v>
      </c>
      <c r="F11" s="126">
        <v>43966</v>
      </c>
      <c r="G11" s="126">
        <v>46538</v>
      </c>
      <c r="H11" s="125" t="s">
        <v>133</v>
      </c>
      <c r="I11" s="127">
        <v>2895</v>
      </c>
      <c r="J11" s="127">
        <f t="shared" si="0"/>
        <v>34740</v>
      </c>
    </row>
    <row r="12" spans="1:10" x14ac:dyDescent="0.25">
      <c r="B12" s="125" t="s">
        <v>143</v>
      </c>
      <c r="C12" s="125" t="s">
        <v>216</v>
      </c>
      <c r="D12" s="125" t="s">
        <v>144</v>
      </c>
      <c r="E12" s="125" t="s">
        <v>132</v>
      </c>
      <c r="F12" s="126">
        <v>45872</v>
      </c>
      <c r="G12" s="126">
        <v>46234</v>
      </c>
      <c r="H12" s="125" t="s">
        <v>133</v>
      </c>
      <c r="I12" s="127">
        <v>3350</v>
      </c>
      <c r="J12" s="127">
        <f t="shared" si="0"/>
        <v>40200</v>
      </c>
    </row>
    <row r="13" spans="1:10" x14ac:dyDescent="0.25">
      <c r="B13" s="128" t="s">
        <v>145</v>
      </c>
      <c r="C13" s="128" t="s">
        <v>217</v>
      </c>
      <c r="D13" s="128" t="s">
        <v>146</v>
      </c>
      <c r="E13" s="128" t="s">
        <v>138</v>
      </c>
      <c r="F13" s="129">
        <v>42919</v>
      </c>
      <c r="G13" s="129">
        <v>46203</v>
      </c>
      <c r="H13" s="128" t="s">
        <v>133</v>
      </c>
      <c r="I13" s="130">
        <v>2039</v>
      </c>
      <c r="J13" s="130">
        <f t="shared" si="0"/>
        <v>24468</v>
      </c>
    </row>
    <row r="14" spans="1:10" x14ac:dyDescent="0.25">
      <c r="B14" s="128" t="s">
        <v>147</v>
      </c>
      <c r="C14" s="128" t="s">
        <v>217</v>
      </c>
      <c r="D14" s="128" t="s">
        <v>148</v>
      </c>
      <c r="E14" s="128" t="s">
        <v>138</v>
      </c>
      <c r="F14" s="129">
        <v>43405</v>
      </c>
      <c r="G14" s="129">
        <v>46507</v>
      </c>
      <c r="H14" s="128" t="s">
        <v>133</v>
      </c>
      <c r="I14" s="130">
        <v>1478</v>
      </c>
      <c r="J14" s="130">
        <f t="shared" si="0"/>
        <v>17736</v>
      </c>
    </row>
    <row r="15" spans="1:10" x14ac:dyDescent="0.25">
      <c r="B15" s="125" t="s">
        <v>149</v>
      </c>
      <c r="C15" s="125" t="s">
        <v>217</v>
      </c>
      <c r="D15" s="125" t="s">
        <v>150</v>
      </c>
      <c r="E15" s="125" t="s">
        <v>132</v>
      </c>
      <c r="F15" s="126">
        <v>45108</v>
      </c>
      <c r="G15" s="126">
        <v>46568</v>
      </c>
      <c r="H15" s="125" t="s">
        <v>133</v>
      </c>
      <c r="I15" s="127">
        <v>2825</v>
      </c>
      <c r="J15" s="127">
        <f t="shared" si="0"/>
        <v>33900</v>
      </c>
    </row>
    <row r="16" spans="1:10" x14ac:dyDescent="0.25">
      <c r="B16" s="180" t="s">
        <v>151</v>
      </c>
      <c r="C16" s="180"/>
      <c r="D16" s="180"/>
      <c r="E16" s="180"/>
      <c r="F16" s="180"/>
      <c r="G16" s="180"/>
      <c r="H16" s="180"/>
      <c r="I16" s="131">
        <f>SUM(I7:I15)</f>
        <v>22886</v>
      </c>
      <c r="J16" s="131">
        <f>SUM(J7:J15)</f>
        <v>274632</v>
      </c>
    </row>
    <row r="17" spans="1:10" x14ac:dyDescent="0.25">
      <c r="B17" s="181" t="s">
        <v>152</v>
      </c>
      <c r="C17" s="181"/>
      <c r="D17" s="181"/>
      <c r="E17" s="181"/>
      <c r="F17" s="181"/>
      <c r="G17" s="181"/>
      <c r="H17" s="181"/>
      <c r="I17" s="127">
        <v>765</v>
      </c>
      <c r="J17" s="127">
        <f>I17*12</f>
        <v>9180</v>
      </c>
    </row>
    <row r="18" spans="1:10" x14ac:dyDescent="0.25">
      <c r="B18" s="179" t="s">
        <v>153</v>
      </c>
      <c r="C18" s="179"/>
      <c r="D18" s="179"/>
      <c r="E18" s="179"/>
      <c r="F18" s="179"/>
      <c r="G18" s="179"/>
      <c r="H18" s="179"/>
      <c r="I18" s="132">
        <f>I16+I17</f>
        <v>23651</v>
      </c>
      <c r="J18" s="132">
        <f>J16+J17</f>
        <v>283812</v>
      </c>
    </row>
    <row r="21" spans="1:10" x14ac:dyDescent="0.25">
      <c r="A21" s="175" t="s">
        <v>154</v>
      </c>
      <c r="B21" s="175"/>
      <c r="C21" s="175"/>
      <c r="D21" s="175"/>
      <c r="E21" s="175"/>
      <c r="F21" s="175"/>
      <c r="G21" s="175"/>
      <c r="H21" s="175"/>
      <c r="I21" s="175"/>
      <c r="J21" s="175"/>
    </row>
    <row r="22" spans="1:10" ht="25.5" x14ac:dyDescent="0.25">
      <c r="B22" s="124" t="s">
        <v>125</v>
      </c>
      <c r="C22" s="124" t="s">
        <v>155</v>
      </c>
      <c r="D22" s="124" t="s">
        <v>127</v>
      </c>
      <c r="E22" s="124" t="s">
        <v>156</v>
      </c>
    </row>
    <row r="23" spans="1:10" x14ac:dyDescent="0.25">
      <c r="B23" s="112" t="s">
        <v>157</v>
      </c>
      <c r="C23" s="133">
        <f>COUNTIF(E7:E15,"Market")</f>
        <v>6</v>
      </c>
      <c r="D23" s="134">
        <f>SUMIF(E7:E15,"Market",I7:I15)</f>
        <v>17835</v>
      </c>
      <c r="E23" s="134">
        <f>IFERROR(AVERAGEIF(E7:E15,"Market",I7:I15),0)</f>
        <v>2972.5</v>
      </c>
    </row>
    <row r="24" spans="1:10" x14ac:dyDescent="0.25">
      <c r="B24" s="112" t="s">
        <v>158</v>
      </c>
      <c r="C24" s="133">
        <f>COUNTIF(E7:E15,"Affordable")</f>
        <v>3</v>
      </c>
      <c r="D24" s="134">
        <f>SUMIF(E7:E15,"Affordable",I7:I15)</f>
        <v>5051</v>
      </c>
      <c r="E24" s="134">
        <f>IFERROR(AVERAGEIF(E7:E15,"Affordable",I7:I15),0)</f>
        <v>1683.6666666666667</v>
      </c>
    </row>
    <row r="25" spans="1:10" x14ac:dyDescent="0.25">
      <c r="B25" s="115" t="s">
        <v>159</v>
      </c>
      <c r="C25" s="135">
        <f>C23+C24</f>
        <v>9</v>
      </c>
      <c r="D25" s="136">
        <f>D23+D24</f>
        <v>22886</v>
      </c>
      <c r="E25" s="136">
        <f>IFERROR(D25/C25,0)</f>
        <v>2542.8888888888887</v>
      </c>
    </row>
    <row r="27" spans="1:10" x14ac:dyDescent="0.25">
      <c r="B27" s="137" t="s">
        <v>160</v>
      </c>
    </row>
    <row r="28" spans="1:10" x14ac:dyDescent="0.25">
      <c r="B28" s="137" t="s">
        <v>161</v>
      </c>
    </row>
  </sheetData>
  <mergeCells count="8">
    <mergeCell ref="B18:H18"/>
    <mergeCell ref="A21:J21"/>
    <mergeCell ref="A1:J1"/>
    <mergeCell ref="A2:J2"/>
    <mergeCell ref="A3:J3"/>
    <mergeCell ref="A4:J4"/>
    <mergeCell ref="B16:H16"/>
    <mergeCell ref="B17:H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0D2C-8F76-4F79-91DA-5EC64F26C067}">
  <dimension ref="A1:G38"/>
  <sheetViews>
    <sheetView topLeftCell="A6" workbookViewId="0">
      <selection activeCell="L30" sqref="L30"/>
    </sheetView>
  </sheetViews>
  <sheetFormatPr defaultColWidth="8.7109375" defaultRowHeight="15" x14ac:dyDescent="0.25"/>
  <cols>
    <col min="1" max="1" width="2" customWidth="1"/>
    <col min="2" max="2" width="34" customWidth="1"/>
    <col min="3" max="6" width="18" customWidth="1"/>
    <col min="7" max="7" width="2" customWidth="1"/>
  </cols>
  <sheetData>
    <row r="1" spans="1:6" ht="21.75" customHeight="1" x14ac:dyDescent="0.25">
      <c r="A1" s="175" t="s">
        <v>93</v>
      </c>
      <c r="B1" s="175"/>
      <c r="C1" s="175"/>
      <c r="D1" s="175"/>
      <c r="E1" s="175"/>
      <c r="F1" s="175"/>
    </row>
    <row r="2" spans="1:6" ht="23.25" x14ac:dyDescent="0.25">
      <c r="A2" s="176" t="s">
        <v>162</v>
      </c>
      <c r="B2" s="176"/>
      <c r="C2" s="176"/>
      <c r="D2" s="176"/>
      <c r="E2" s="176"/>
      <c r="F2" s="176"/>
    </row>
    <row r="3" spans="1:6" ht="15.75" customHeight="1" x14ac:dyDescent="0.25">
      <c r="A3" s="177" t="s">
        <v>163</v>
      </c>
      <c r="B3" s="177"/>
      <c r="C3" s="177"/>
      <c r="D3" s="177"/>
      <c r="E3" s="177"/>
      <c r="F3" s="177"/>
    </row>
    <row r="4" spans="1:6" ht="3.75" customHeight="1" x14ac:dyDescent="0.25">
      <c r="A4" s="178"/>
      <c r="B4" s="178"/>
      <c r="C4" s="178"/>
      <c r="D4" s="178"/>
      <c r="E4" s="178"/>
      <c r="F4" s="178"/>
    </row>
    <row r="6" spans="1:6" ht="19.5" customHeight="1" x14ac:dyDescent="0.25">
      <c r="A6" s="175" t="s">
        <v>164</v>
      </c>
      <c r="B6" s="175"/>
      <c r="C6" s="175"/>
      <c r="D6" s="175"/>
      <c r="E6" s="175"/>
      <c r="F6" s="175"/>
    </row>
    <row r="7" spans="1:6" x14ac:dyDescent="0.25">
      <c r="B7" s="124"/>
      <c r="C7" s="124" t="s">
        <v>165</v>
      </c>
      <c r="D7" s="124" t="s">
        <v>166</v>
      </c>
      <c r="E7" s="124" t="s">
        <v>167</v>
      </c>
      <c r="F7" s="124" t="s">
        <v>168</v>
      </c>
    </row>
    <row r="8" spans="1:6" x14ac:dyDescent="0.25">
      <c r="B8" s="138" t="s">
        <v>169</v>
      </c>
      <c r="C8" s="139" t="s">
        <v>170</v>
      </c>
      <c r="D8" s="139" t="s">
        <v>171</v>
      </c>
      <c r="E8" s="140" t="s">
        <v>172</v>
      </c>
      <c r="F8" s="140" t="s">
        <v>172</v>
      </c>
    </row>
    <row r="9" spans="1:6" x14ac:dyDescent="0.25">
      <c r="B9" s="138" t="s">
        <v>173</v>
      </c>
      <c r="C9" s="139" t="s">
        <v>174</v>
      </c>
      <c r="D9" s="139" t="s">
        <v>175</v>
      </c>
      <c r="E9" s="140" t="s">
        <v>172</v>
      </c>
      <c r="F9" s="140" t="s">
        <v>172</v>
      </c>
    </row>
    <row r="10" spans="1:6" x14ac:dyDescent="0.25">
      <c r="B10" s="138" t="s">
        <v>77</v>
      </c>
      <c r="C10" s="141">
        <v>26.35</v>
      </c>
      <c r="D10" s="141">
        <v>27.39</v>
      </c>
      <c r="E10" s="142">
        <f t="shared" ref="E10:E15" si="0">D10-C10</f>
        <v>1.0399999999999991</v>
      </c>
      <c r="F10" s="143">
        <f>(D10-C10)/C10</f>
        <v>3.946869070208725E-2</v>
      </c>
    </row>
    <row r="11" spans="1:6" x14ac:dyDescent="0.25">
      <c r="B11" s="138" t="s">
        <v>176</v>
      </c>
      <c r="C11" s="134">
        <v>1012900</v>
      </c>
      <c r="D11" s="134">
        <v>1012900</v>
      </c>
      <c r="E11" s="144">
        <f t="shared" si="0"/>
        <v>0</v>
      </c>
      <c r="F11" s="145">
        <f>IF(C11=0,0,(D11-C11)/C11)</f>
        <v>0</v>
      </c>
    </row>
    <row r="12" spans="1:6" x14ac:dyDescent="0.25">
      <c r="B12" s="138" t="s">
        <v>177</v>
      </c>
      <c r="C12" s="134">
        <v>0</v>
      </c>
      <c r="D12" s="134">
        <v>0</v>
      </c>
      <c r="E12" s="144">
        <f t="shared" si="0"/>
        <v>0</v>
      </c>
      <c r="F12" s="145"/>
    </row>
    <row r="13" spans="1:6" x14ac:dyDescent="0.25">
      <c r="B13" s="118" t="s">
        <v>84</v>
      </c>
      <c r="C13" s="134">
        <v>1012900</v>
      </c>
      <c r="D13" s="134">
        <v>1012900</v>
      </c>
      <c r="E13" s="144">
        <f t="shared" si="0"/>
        <v>0</v>
      </c>
      <c r="F13" s="145">
        <f>IF(C13=0,0,(D13-C13)/C13)</f>
        <v>0</v>
      </c>
    </row>
    <row r="14" spans="1:6" x14ac:dyDescent="0.25">
      <c r="B14" s="118" t="s">
        <v>178</v>
      </c>
      <c r="C14" s="146">
        <v>26689.919999999998</v>
      </c>
      <c r="D14" s="146">
        <v>27743.32</v>
      </c>
      <c r="E14" s="147">
        <f t="shared" si="0"/>
        <v>1053.4000000000015</v>
      </c>
      <c r="F14" s="148">
        <f>(D14-C14)/C14</f>
        <v>3.946808383089951E-2</v>
      </c>
    </row>
    <row r="15" spans="1:6" x14ac:dyDescent="0.25">
      <c r="B15" s="138" t="s">
        <v>179</v>
      </c>
      <c r="C15" s="149">
        <f>C14/4</f>
        <v>6672.48</v>
      </c>
      <c r="D15" s="149">
        <f>D14/4</f>
        <v>6935.83</v>
      </c>
      <c r="E15" s="150">
        <f t="shared" si="0"/>
        <v>263.35000000000036</v>
      </c>
      <c r="F15" s="143">
        <f>(D15-C15)/C15</f>
        <v>3.946808383089951E-2</v>
      </c>
    </row>
    <row r="17" spans="1:7" ht="19.5" customHeight="1" x14ac:dyDescent="0.25">
      <c r="A17" s="175" t="s">
        <v>180</v>
      </c>
      <c r="B17" s="175"/>
      <c r="C17" s="175"/>
      <c r="D17" s="175"/>
      <c r="E17" s="175"/>
      <c r="F17" s="175"/>
    </row>
    <row r="18" spans="1:7" x14ac:dyDescent="0.25">
      <c r="B18" s="138" t="s">
        <v>181</v>
      </c>
      <c r="C18" s="134">
        <f>D13</f>
        <v>1012900</v>
      </c>
      <c r="D18" s="182" t="s">
        <v>182</v>
      </c>
      <c r="E18" s="182"/>
      <c r="F18" s="182"/>
    </row>
    <row r="19" spans="1:7" x14ac:dyDescent="0.25">
      <c r="B19" s="138" t="s">
        <v>183</v>
      </c>
      <c r="C19" s="151">
        <v>0.7</v>
      </c>
      <c r="D19" s="182" t="s">
        <v>184</v>
      </c>
      <c r="E19" s="182"/>
      <c r="F19" s="182"/>
    </row>
    <row r="20" spans="1:7" x14ac:dyDescent="0.25">
      <c r="B20" s="115" t="s">
        <v>185</v>
      </c>
      <c r="C20" s="136">
        <f>C18/C19</f>
        <v>1447000</v>
      </c>
      <c r="D20" s="182" t="s">
        <v>186</v>
      </c>
      <c r="E20" s="182"/>
      <c r="F20" s="182"/>
    </row>
    <row r="21" spans="1:7" x14ac:dyDescent="0.25">
      <c r="B21" s="138" t="s">
        <v>187</v>
      </c>
      <c r="C21" s="134">
        <f>C20/9</f>
        <v>160777.77777777778</v>
      </c>
      <c r="D21" s="182" t="s">
        <v>188</v>
      </c>
      <c r="E21" s="182"/>
      <c r="F21" s="182"/>
    </row>
    <row r="23" spans="1:7" ht="19.5" customHeight="1" x14ac:dyDescent="0.25">
      <c r="A23" s="175" t="s">
        <v>189</v>
      </c>
      <c r="B23" s="175"/>
      <c r="C23" s="175"/>
      <c r="D23" s="175"/>
      <c r="E23" s="175"/>
      <c r="F23" s="175"/>
    </row>
    <row r="24" spans="1:7" x14ac:dyDescent="0.25">
      <c r="B24" s="138" t="s">
        <v>190</v>
      </c>
      <c r="C24" s="152">
        <f>D14</f>
        <v>27743.32</v>
      </c>
      <c r="D24" s="182" t="s">
        <v>182</v>
      </c>
      <c r="E24" s="182"/>
      <c r="F24" s="182"/>
    </row>
    <row r="25" spans="1:7" x14ac:dyDescent="0.25">
      <c r="B25" s="138" t="s">
        <v>191</v>
      </c>
      <c r="C25" s="152">
        <f>C24/12</f>
        <v>2311.9433333333332</v>
      </c>
      <c r="D25" s="182" t="s">
        <v>192</v>
      </c>
      <c r="E25" s="182"/>
      <c r="F25" s="182"/>
    </row>
    <row r="26" spans="1:7" x14ac:dyDescent="0.25">
      <c r="B26" s="138" t="s">
        <v>193</v>
      </c>
      <c r="C26" s="127">
        <v>2311</v>
      </c>
      <c r="D26" s="182" t="s">
        <v>194</v>
      </c>
      <c r="E26" s="182"/>
      <c r="F26" s="182"/>
    </row>
    <row r="27" spans="1:7" x14ac:dyDescent="0.25">
      <c r="B27" s="138" t="s">
        <v>195</v>
      </c>
      <c r="C27" s="153">
        <f>C26-C25</f>
        <v>-0.9433333333331575</v>
      </c>
      <c r="D27" s="182" t="s">
        <v>196</v>
      </c>
      <c r="E27" s="182"/>
      <c r="F27" s="182"/>
    </row>
    <row r="28" spans="1:7" x14ac:dyDescent="0.25">
      <c r="B28" s="138" t="s">
        <v>197</v>
      </c>
      <c r="C28" s="127">
        <f>'[1]P&amp;L'!O8</f>
        <v>276000</v>
      </c>
      <c r="D28" s="182" t="s">
        <v>198</v>
      </c>
      <c r="E28" s="182"/>
      <c r="F28" s="182"/>
    </row>
    <row r="29" spans="1:7" x14ac:dyDescent="0.25">
      <c r="B29" s="138" t="s">
        <v>199</v>
      </c>
      <c r="C29" s="154">
        <f>C24/C28</f>
        <v>0.10051927536231883</v>
      </c>
      <c r="D29" s="182" t="s">
        <v>200</v>
      </c>
      <c r="E29" s="182"/>
      <c r="F29" s="182"/>
      <c r="G29" t="s">
        <v>228</v>
      </c>
    </row>
    <row r="30" spans="1:7" x14ac:dyDescent="0.25">
      <c r="B30" s="138" t="s">
        <v>201</v>
      </c>
      <c r="C30" s="152">
        <f>C24/9</f>
        <v>3082.5911111111109</v>
      </c>
      <c r="D30" s="182" t="s">
        <v>188</v>
      </c>
      <c r="E30" s="182"/>
      <c r="F30" s="182"/>
    </row>
    <row r="33" spans="1:6" ht="19.5" customHeight="1" x14ac:dyDescent="0.25">
      <c r="A33" s="175" t="s">
        <v>202</v>
      </c>
      <c r="B33" s="175"/>
      <c r="C33" s="175"/>
      <c r="D33" s="175"/>
      <c r="E33" s="175"/>
      <c r="F33" s="175"/>
    </row>
    <row r="34" spans="1:6" ht="15.75" customHeight="1" x14ac:dyDescent="0.25">
      <c r="B34" s="183" t="s">
        <v>203</v>
      </c>
      <c r="C34" s="183"/>
      <c r="D34" s="183"/>
      <c r="E34" s="183"/>
      <c r="F34" s="183"/>
    </row>
    <row r="35" spans="1:6" ht="15.75" customHeight="1" x14ac:dyDescent="0.25">
      <c r="B35" s="183" t="s">
        <v>204</v>
      </c>
      <c r="C35" s="183"/>
      <c r="D35" s="183"/>
      <c r="E35" s="183"/>
      <c r="F35" s="183"/>
    </row>
    <row r="36" spans="1:6" ht="15.75" customHeight="1" x14ac:dyDescent="0.25">
      <c r="B36" s="183" t="s">
        <v>205</v>
      </c>
      <c r="C36" s="183"/>
      <c r="D36" s="183"/>
      <c r="E36" s="183"/>
      <c r="F36" s="183"/>
    </row>
    <row r="37" spans="1:6" ht="15.75" customHeight="1" x14ac:dyDescent="0.25">
      <c r="B37" s="183" t="s">
        <v>206</v>
      </c>
      <c r="C37" s="183"/>
      <c r="D37" s="183"/>
      <c r="E37" s="183"/>
      <c r="F37" s="183"/>
    </row>
    <row r="38" spans="1:6" ht="15.75" customHeight="1" x14ac:dyDescent="0.25">
      <c r="B38" s="183" t="s">
        <v>207</v>
      </c>
      <c r="C38" s="183"/>
      <c r="D38" s="183"/>
      <c r="E38" s="183"/>
      <c r="F38" s="183"/>
    </row>
  </sheetData>
  <mergeCells count="24">
    <mergeCell ref="B38:F38"/>
    <mergeCell ref="D25:F25"/>
    <mergeCell ref="D26:F26"/>
    <mergeCell ref="D27:F27"/>
    <mergeCell ref="D28:F28"/>
    <mergeCell ref="D29:F29"/>
    <mergeCell ref="D30:F30"/>
    <mergeCell ref="A33:F33"/>
    <mergeCell ref="B34:F34"/>
    <mergeCell ref="B35:F35"/>
    <mergeCell ref="B36:F36"/>
    <mergeCell ref="B37:F37"/>
    <mergeCell ref="D24:F24"/>
    <mergeCell ref="A1:F1"/>
    <mergeCell ref="A2:F2"/>
    <mergeCell ref="A3:F3"/>
    <mergeCell ref="A4:F4"/>
    <mergeCell ref="A6:F6"/>
    <mergeCell ref="A17:F17"/>
    <mergeCell ref="D18:F18"/>
    <mergeCell ref="D19:F19"/>
    <mergeCell ref="D20:F20"/>
    <mergeCell ref="D21:F21"/>
    <mergeCell ref="A23:F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CFDA-C51C-4762-8EE6-C7FE8697060E}">
  <dimension ref="A1:G70"/>
  <sheetViews>
    <sheetView topLeftCell="A14" workbookViewId="0">
      <selection activeCell="K30" sqref="K30"/>
    </sheetView>
  </sheetViews>
  <sheetFormatPr defaultColWidth="8.7109375" defaultRowHeight="15" x14ac:dyDescent="0.25"/>
  <cols>
    <col min="1" max="1" width="2" customWidth="1"/>
    <col min="2" max="2" width="32" customWidth="1"/>
    <col min="3" max="3" width="19.28515625" bestFit="1" customWidth="1"/>
    <col min="4" max="7" width="14" customWidth="1"/>
    <col min="8" max="8" width="2" customWidth="1"/>
  </cols>
  <sheetData>
    <row r="1" spans="1:7" ht="21.75" customHeight="1" x14ac:dyDescent="0.25">
      <c r="A1" s="175" t="s">
        <v>93</v>
      </c>
      <c r="B1" s="175"/>
      <c r="C1" s="175"/>
      <c r="D1" s="175"/>
      <c r="E1" s="175"/>
      <c r="F1" s="175"/>
      <c r="G1" s="175"/>
    </row>
    <row r="2" spans="1:7" ht="27.75" customHeight="1" x14ac:dyDescent="0.25">
      <c r="A2" s="176" t="s">
        <v>229</v>
      </c>
      <c r="B2" s="176"/>
      <c r="C2" s="176"/>
      <c r="D2" s="176"/>
      <c r="E2" s="176"/>
      <c r="F2" s="176"/>
      <c r="G2" s="176"/>
    </row>
    <row r="3" spans="1:7" ht="15.75" customHeight="1" x14ac:dyDescent="0.25">
      <c r="A3" s="177" t="s">
        <v>230</v>
      </c>
      <c r="B3" s="177"/>
      <c r="C3" s="177"/>
      <c r="D3" s="177"/>
      <c r="E3" s="177"/>
      <c r="F3" s="177"/>
      <c r="G3" s="177"/>
    </row>
    <row r="4" spans="1:7" ht="3.75" customHeight="1" x14ac:dyDescent="0.25">
      <c r="A4" s="178"/>
      <c r="B4" s="178"/>
      <c r="C4" s="178"/>
      <c r="D4" s="178"/>
      <c r="E4" s="178"/>
      <c r="F4" s="178"/>
      <c r="G4" s="178"/>
    </row>
    <row r="6" spans="1:7" ht="19.5" customHeight="1" x14ac:dyDescent="0.25">
      <c r="A6" s="175" t="s">
        <v>231</v>
      </c>
      <c r="B6" s="175"/>
      <c r="C6" s="175"/>
      <c r="D6" s="175"/>
      <c r="E6" s="175"/>
      <c r="F6" s="175"/>
      <c r="G6" s="175"/>
    </row>
    <row r="7" spans="1:7" ht="15" customHeight="1" x14ac:dyDescent="0.25">
      <c r="B7" s="118" t="s">
        <v>232</v>
      </c>
      <c r="C7" s="184" t="s">
        <v>233</v>
      </c>
      <c r="D7" s="184"/>
      <c r="E7" s="184"/>
      <c r="F7" s="184"/>
      <c r="G7" s="184"/>
    </row>
    <row r="8" spans="1:7" ht="15" customHeight="1" x14ac:dyDescent="0.25">
      <c r="B8" s="118" t="s">
        <v>234</v>
      </c>
      <c r="C8" s="184" t="s">
        <v>235</v>
      </c>
      <c r="D8" s="184"/>
      <c r="E8" s="184"/>
      <c r="F8" s="184"/>
      <c r="G8" s="184"/>
    </row>
    <row r="9" spans="1:7" ht="15" customHeight="1" x14ac:dyDescent="0.25">
      <c r="B9" s="118" t="s">
        <v>236</v>
      </c>
      <c r="C9" s="184" t="s">
        <v>237</v>
      </c>
      <c r="D9" s="184"/>
      <c r="E9" s="184"/>
      <c r="F9" s="184"/>
      <c r="G9" s="184"/>
    </row>
    <row r="10" spans="1:7" ht="15" customHeight="1" x14ac:dyDescent="0.25">
      <c r="B10" s="118" t="s">
        <v>238</v>
      </c>
      <c r="C10" s="184" t="s">
        <v>239</v>
      </c>
      <c r="D10" s="184"/>
      <c r="E10" s="184"/>
      <c r="F10" s="184"/>
      <c r="G10" s="184"/>
    </row>
    <row r="11" spans="1:7" ht="15" customHeight="1" x14ac:dyDescent="0.25">
      <c r="B11" s="118" t="s">
        <v>240</v>
      </c>
      <c r="C11" s="184" t="s">
        <v>241</v>
      </c>
      <c r="D11" s="184"/>
      <c r="E11" s="184"/>
      <c r="F11" s="184"/>
      <c r="G11" s="184"/>
    </row>
    <row r="12" spans="1:7" ht="15" customHeight="1" x14ac:dyDescent="0.25">
      <c r="B12" s="118" t="s">
        <v>242</v>
      </c>
      <c r="C12" s="184" t="s">
        <v>243</v>
      </c>
      <c r="D12" s="184"/>
      <c r="E12" s="184"/>
      <c r="F12" s="184"/>
      <c r="G12" s="184"/>
    </row>
    <row r="14" spans="1:7" ht="19.5" customHeight="1" x14ac:dyDescent="0.25">
      <c r="A14" s="175" t="s">
        <v>244</v>
      </c>
      <c r="B14" s="175"/>
      <c r="C14" s="175"/>
      <c r="D14" s="175"/>
      <c r="E14" s="175"/>
      <c r="F14" s="175"/>
      <c r="G14" s="175"/>
    </row>
    <row r="15" spans="1:7" ht="30" customHeight="1" x14ac:dyDescent="0.25">
      <c r="B15" s="124" t="s">
        <v>245</v>
      </c>
      <c r="C15" s="124" t="s">
        <v>246</v>
      </c>
      <c r="D15" s="124" t="s">
        <v>247</v>
      </c>
      <c r="E15" s="124" t="s">
        <v>248</v>
      </c>
      <c r="F15" s="124" t="s">
        <v>129</v>
      </c>
    </row>
    <row r="16" spans="1:7" x14ac:dyDescent="0.25">
      <c r="B16" s="138" t="s">
        <v>249</v>
      </c>
      <c r="C16" s="127">
        <v>91665</v>
      </c>
      <c r="D16" s="127">
        <f>C16*0.8</f>
        <v>73332</v>
      </c>
      <c r="E16" s="127">
        <f>C16*0.6</f>
        <v>54999</v>
      </c>
      <c r="F16" s="185" t="s">
        <v>250</v>
      </c>
      <c r="G16" s="185"/>
    </row>
    <row r="17" spans="1:7" x14ac:dyDescent="0.25">
      <c r="B17" s="138" t="s">
        <v>251</v>
      </c>
      <c r="C17" s="127">
        <v>180500</v>
      </c>
      <c r="D17" s="127">
        <f>C17*0.8</f>
        <v>144400</v>
      </c>
      <c r="E17" s="127">
        <f>C17*0.6</f>
        <v>108300</v>
      </c>
      <c r="F17" s="185" t="s">
        <v>252</v>
      </c>
      <c r="G17" s="185"/>
    </row>
    <row r="18" spans="1:7" x14ac:dyDescent="0.25">
      <c r="B18" s="115" t="s">
        <v>253</v>
      </c>
      <c r="C18" s="160">
        <f>C17-C16</f>
        <v>88835</v>
      </c>
      <c r="D18" s="160">
        <f>D17-D16</f>
        <v>71068</v>
      </c>
      <c r="E18" s="160">
        <f>E17-E16</f>
        <v>53301</v>
      </c>
      <c r="F18" s="186" t="s">
        <v>254</v>
      </c>
      <c r="G18" s="186"/>
    </row>
    <row r="19" spans="1:7" x14ac:dyDescent="0.25">
      <c r="B19" s="115" t="s">
        <v>255</v>
      </c>
      <c r="C19" s="162">
        <f>(C17-C16)/C16</f>
        <v>0.96912671139475259</v>
      </c>
      <c r="D19" s="162">
        <f>(D17-D16)/D16</f>
        <v>0.96912671139475259</v>
      </c>
      <c r="E19" s="162">
        <f>(E17-E16)/E16</f>
        <v>0.96912671139475259</v>
      </c>
      <c r="F19" s="186" t="s">
        <v>256</v>
      </c>
      <c r="G19" s="186"/>
    </row>
    <row r="22" spans="1:7" ht="19.5" customHeight="1" x14ac:dyDescent="0.25">
      <c r="A22" s="175" t="s">
        <v>257</v>
      </c>
      <c r="B22" s="175"/>
      <c r="C22" s="175"/>
      <c r="D22" s="175"/>
      <c r="E22" s="175"/>
      <c r="F22" s="175"/>
      <c r="G22" s="175"/>
    </row>
    <row r="23" spans="1:7" ht="30" customHeight="1" x14ac:dyDescent="0.25">
      <c r="B23" s="124" t="s">
        <v>258</v>
      </c>
      <c r="C23" s="124" t="s">
        <v>259</v>
      </c>
      <c r="D23" s="124" t="s">
        <v>260</v>
      </c>
      <c r="E23" s="124" t="s">
        <v>261</v>
      </c>
      <c r="F23" s="124" t="s">
        <v>262</v>
      </c>
    </row>
    <row r="24" spans="1:7" x14ac:dyDescent="0.25">
      <c r="B24" s="138" t="s">
        <v>263</v>
      </c>
      <c r="C24" s="163">
        <v>1</v>
      </c>
      <c r="D24" s="127">
        <f>$C$16*0.7*0.8*0.3/12</f>
        <v>1283.3099999999997</v>
      </c>
      <c r="E24" s="127">
        <f>$C$16*0.7*0.6*0.3/12</f>
        <v>962.48249999999996</v>
      </c>
      <c r="F24" s="185" t="s">
        <v>264</v>
      </c>
      <c r="G24" s="185"/>
    </row>
    <row r="25" spans="1:7" x14ac:dyDescent="0.25">
      <c r="B25" s="138" t="s">
        <v>265</v>
      </c>
      <c r="C25" s="163">
        <v>1.5</v>
      </c>
      <c r="D25" s="127">
        <f>$C$16*0.75*0.8*0.3/12</f>
        <v>1374.9750000000001</v>
      </c>
      <c r="E25" s="127">
        <f>$C$16*0.75*0.6*0.3/12</f>
        <v>1031.23125</v>
      </c>
      <c r="F25" s="185" t="s">
        <v>266</v>
      </c>
      <c r="G25" s="185"/>
    </row>
    <row r="26" spans="1:7" x14ac:dyDescent="0.25">
      <c r="B26" s="115" t="s">
        <v>267</v>
      </c>
      <c r="C26" s="164">
        <v>3</v>
      </c>
      <c r="D26" s="160">
        <f>$C$16*0.9*0.8*0.3/12</f>
        <v>1649.97</v>
      </c>
      <c r="E26" s="160">
        <f>$C$16*0.9*0.6*0.3/12</f>
        <v>1237.4775</v>
      </c>
      <c r="F26" s="185" t="s">
        <v>268</v>
      </c>
      <c r="G26" s="185"/>
    </row>
    <row r="27" spans="1:7" x14ac:dyDescent="0.25">
      <c r="B27" s="138" t="s">
        <v>269</v>
      </c>
      <c r="C27" s="163">
        <v>4.5</v>
      </c>
      <c r="D27" s="127">
        <f>$C$16*1.04*0.8*0.3/12</f>
        <v>1906.6320000000003</v>
      </c>
      <c r="E27" s="127">
        <f>$C$16*1.04*0.6*0.3/12</f>
        <v>1429.9739999999999</v>
      </c>
      <c r="F27" s="185" t="s">
        <v>270</v>
      </c>
      <c r="G27" s="185"/>
    </row>
    <row r="28" spans="1:7" x14ac:dyDescent="0.25">
      <c r="B28" s="187" t="s">
        <v>271</v>
      </c>
      <c r="C28" s="187"/>
      <c r="D28" s="187"/>
      <c r="E28" s="187"/>
      <c r="F28" s="187"/>
      <c r="G28" s="187"/>
    </row>
    <row r="30" spans="1:7" ht="19.5" customHeight="1" x14ac:dyDescent="0.25">
      <c r="A30" s="175" t="s">
        <v>272</v>
      </c>
      <c r="B30" s="175"/>
      <c r="C30" s="175"/>
      <c r="D30" s="175"/>
      <c r="E30" s="175"/>
      <c r="F30" s="175"/>
      <c r="G30" s="175"/>
    </row>
    <row r="31" spans="1:7" ht="30" customHeight="1" x14ac:dyDescent="0.25">
      <c r="B31" s="124" t="s">
        <v>258</v>
      </c>
      <c r="C31" s="124" t="s">
        <v>273</v>
      </c>
      <c r="D31" s="124" t="s">
        <v>274</v>
      </c>
      <c r="E31" s="124" t="s">
        <v>275</v>
      </c>
      <c r="F31" s="124" t="s">
        <v>262</v>
      </c>
    </row>
    <row r="32" spans="1:7" x14ac:dyDescent="0.25">
      <c r="B32" s="138" t="s">
        <v>263</v>
      </c>
      <c r="C32" s="127">
        <v>1706</v>
      </c>
      <c r="D32" s="127">
        <v>1421</v>
      </c>
      <c r="E32" s="127">
        <v>1218</v>
      </c>
      <c r="F32" s="185" t="s">
        <v>276</v>
      </c>
      <c r="G32" s="185"/>
    </row>
    <row r="33" spans="1:7" x14ac:dyDescent="0.25">
      <c r="B33" s="138" t="s">
        <v>265</v>
      </c>
      <c r="C33" s="127">
        <v>2031</v>
      </c>
      <c r="D33" s="127">
        <v>1692</v>
      </c>
      <c r="E33" s="127">
        <v>1408</v>
      </c>
      <c r="F33" s="185"/>
      <c r="G33" s="185"/>
    </row>
    <row r="34" spans="1:7" x14ac:dyDescent="0.25">
      <c r="B34" s="115" t="s">
        <v>267</v>
      </c>
      <c r="C34" s="160">
        <v>2437</v>
      </c>
      <c r="D34" s="160">
        <v>2031</v>
      </c>
      <c r="E34" s="160">
        <v>1521</v>
      </c>
      <c r="F34" s="185" t="s">
        <v>277</v>
      </c>
      <c r="G34" s="185"/>
    </row>
    <row r="35" spans="1:7" x14ac:dyDescent="0.25">
      <c r="B35" s="138" t="s">
        <v>269</v>
      </c>
      <c r="C35" s="127">
        <v>2816</v>
      </c>
      <c r="D35" s="127">
        <v>2347</v>
      </c>
      <c r="E35" s="127">
        <v>1758</v>
      </c>
      <c r="F35" s="185"/>
      <c r="G35" s="185"/>
    </row>
    <row r="36" spans="1:7" x14ac:dyDescent="0.25">
      <c r="B36" s="188" t="s">
        <v>278</v>
      </c>
      <c r="C36" s="188"/>
      <c r="D36" s="188"/>
      <c r="E36" s="188"/>
      <c r="F36" s="188"/>
      <c r="G36" s="188"/>
    </row>
    <row r="38" spans="1:7" ht="19.5" customHeight="1" x14ac:dyDescent="0.25">
      <c r="A38" s="175" t="s">
        <v>279</v>
      </c>
      <c r="B38" s="175"/>
      <c r="C38" s="175"/>
      <c r="D38" s="175"/>
      <c r="E38" s="175"/>
      <c r="F38" s="175"/>
      <c r="G38" s="175"/>
    </row>
    <row r="39" spans="1:7" ht="30" customHeight="1" x14ac:dyDescent="0.25">
      <c r="B39" s="124" t="s">
        <v>124</v>
      </c>
      <c r="C39" s="124" t="s">
        <v>13</v>
      </c>
      <c r="D39" s="124" t="s">
        <v>280</v>
      </c>
      <c r="E39" s="124" t="s">
        <v>281</v>
      </c>
      <c r="F39" s="124" t="s">
        <v>282</v>
      </c>
      <c r="G39" s="124" t="s">
        <v>129</v>
      </c>
    </row>
    <row r="40" spans="1:7" x14ac:dyDescent="0.25">
      <c r="B40" s="138" t="s">
        <v>283</v>
      </c>
      <c r="C40" s="127">
        <v>1534</v>
      </c>
      <c r="D40" s="127">
        <v>2895</v>
      </c>
      <c r="E40" s="127">
        <f>D40-C40</f>
        <v>1361</v>
      </c>
      <c r="F40" s="127">
        <f>E40*12</f>
        <v>16332</v>
      </c>
      <c r="G40" s="159" t="s">
        <v>284</v>
      </c>
    </row>
    <row r="41" spans="1:7" x14ac:dyDescent="0.25">
      <c r="B41" s="138" t="s">
        <v>285</v>
      </c>
      <c r="C41" s="127">
        <v>2039</v>
      </c>
      <c r="D41" s="127">
        <v>2895</v>
      </c>
      <c r="E41" s="127">
        <f>D41-C41</f>
        <v>856</v>
      </c>
      <c r="F41" s="127">
        <f>E41*12</f>
        <v>10272</v>
      </c>
      <c r="G41" s="159" t="s">
        <v>286</v>
      </c>
    </row>
    <row r="42" spans="1:7" x14ac:dyDescent="0.25">
      <c r="B42" s="138" t="s">
        <v>287</v>
      </c>
      <c r="C42" s="127">
        <v>1478</v>
      </c>
      <c r="D42" s="127">
        <v>2895</v>
      </c>
      <c r="E42" s="127">
        <f>D42-C42</f>
        <v>1417</v>
      </c>
      <c r="F42" s="127">
        <f>E42*12</f>
        <v>17004</v>
      </c>
      <c r="G42" s="159" t="s">
        <v>284</v>
      </c>
    </row>
    <row r="43" spans="1:7" x14ac:dyDescent="0.25">
      <c r="B43" s="115" t="s">
        <v>288</v>
      </c>
      <c r="C43" s="160">
        <f>SUM(C40:C42)</f>
        <v>5051</v>
      </c>
      <c r="D43" s="160">
        <f>SUM(D40:D42)</f>
        <v>8685</v>
      </c>
      <c r="E43" s="160">
        <f>SUM(E40:E42)</f>
        <v>3634</v>
      </c>
      <c r="F43" s="160">
        <f>SUM(F40:F42)</f>
        <v>43608</v>
      </c>
      <c r="G43" s="161" t="s">
        <v>289</v>
      </c>
    </row>
    <row r="45" spans="1:7" ht="19.5" customHeight="1" x14ac:dyDescent="0.25">
      <c r="A45" s="175" t="s">
        <v>290</v>
      </c>
      <c r="B45" s="175"/>
      <c r="C45" s="175"/>
      <c r="D45" s="175"/>
      <c r="E45" s="175"/>
      <c r="F45" s="175"/>
      <c r="G45" s="175"/>
    </row>
    <row r="46" spans="1:7" ht="30" customHeight="1" x14ac:dyDescent="0.25">
      <c r="B46" s="124" t="s">
        <v>291</v>
      </c>
      <c r="C46" s="124" t="s">
        <v>292</v>
      </c>
      <c r="D46" s="124" t="s">
        <v>197</v>
      </c>
      <c r="E46" s="124" t="s">
        <v>293</v>
      </c>
      <c r="F46" s="124" t="s">
        <v>294</v>
      </c>
    </row>
    <row r="47" spans="1:7" x14ac:dyDescent="0.25">
      <c r="B47" s="138" t="s">
        <v>295</v>
      </c>
      <c r="C47" s="165" t="s">
        <v>296</v>
      </c>
      <c r="D47" s="127">
        <v>282792</v>
      </c>
      <c r="E47" s="144">
        <v>0</v>
      </c>
      <c r="F47" s="166">
        <f>D47-'[2]P&amp;L'!O20+'[2]P&amp;L'!O9</f>
        <v>221628</v>
      </c>
    </row>
    <row r="48" spans="1:7" x14ac:dyDescent="0.25">
      <c r="B48" s="138" t="s">
        <v>297</v>
      </c>
      <c r="C48" s="165" t="s">
        <v>298</v>
      </c>
      <c r="D48" s="127">
        <f>12*(1650*3) + 6*2895*12 + 765*12</f>
        <v>277020</v>
      </c>
      <c r="E48" s="167">
        <f>D48-D47</f>
        <v>-5772</v>
      </c>
      <c r="F48" s="166">
        <f>D48-'[2]P&amp;L'!O20+'[2]P&amp;L'!O9</f>
        <v>215856</v>
      </c>
    </row>
    <row r="49" spans="1:7" x14ac:dyDescent="0.25">
      <c r="B49" s="115" t="s">
        <v>299</v>
      </c>
      <c r="C49" s="168" t="s">
        <v>300</v>
      </c>
      <c r="D49" s="160">
        <f>12*(2437*3) + 6*2895*12 + 765*12</f>
        <v>305352</v>
      </c>
      <c r="E49" s="169">
        <f>D49-D47</f>
        <v>22560</v>
      </c>
      <c r="F49" s="136">
        <f>D49-'[2]P&amp;L'!O20+'[2]P&amp;L'!O9</f>
        <v>244188</v>
      </c>
    </row>
    <row r="50" spans="1:7" x14ac:dyDescent="0.25">
      <c r="B50" s="115" t="s">
        <v>301</v>
      </c>
      <c r="C50" s="168" t="s">
        <v>302</v>
      </c>
      <c r="D50" s="160">
        <f>12*9*2895 + 765*12</f>
        <v>321840</v>
      </c>
      <c r="E50" s="169">
        <f>D50-D47</f>
        <v>39048</v>
      </c>
      <c r="F50" s="136">
        <f>D50-'[2]P&amp;L'!O20+'[2]P&amp;L'!O9</f>
        <v>260676</v>
      </c>
    </row>
    <row r="52" spans="1:7" ht="19.5" customHeight="1" x14ac:dyDescent="0.25">
      <c r="A52" s="175" t="s">
        <v>303</v>
      </c>
      <c r="B52" s="175"/>
      <c r="C52" s="175"/>
      <c r="D52" s="175"/>
      <c r="E52" s="175"/>
      <c r="F52" s="175"/>
      <c r="G52" s="175"/>
    </row>
    <row r="53" spans="1:7" x14ac:dyDescent="0.25">
      <c r="B53" s="138" t="s">
        <v>304</v>
      </c>
      <c r="C53" s="151">
        <v>7.0000000000000007E-2</v>
      </c>
    </row>
    <row r="54" spans="1:7" x14ac:dyDescent="0.25">
      <c r="B54" s="138" t="s">
        <v>305</v>
      </c>
      <c r="C54" s="134">
        <f>F47</f>
        <v>221628</v>
      </c>
    </row>
    <row r="55" spans="1:7" x14ac:dyDescent="0.25">
      <c r="B55" s="138" t="s">
        <v>306</v>
      </c>
      <c r="C55" s="134">
        <f>F49</f>
        <v>244188</v>
      </c>
    </row>
    <row r="56" spans="1:7" x14ac:dyDescent="0.25">
      <c r="B56" s="138" t="s">
        <v>307</v>
      </c>
      <c r="C56" s="134">
        <f>F50</f>
        <v>260676</v>
      </c>
    </row>
    <row r="57" spans="1:7" x14ac:dyDescent="0.25">
      <c r="B57" s="118" t="s">
        <v>308</v>
      </c>
      <c r="C57" s="170">
        <f>C54/$C$53</f>
        <v>3166114.2857142854</v>
      </c>
    </row>
    <row r="58" spans="1:7" x14ac:dyDescent="0.25">
      <c r="B58" s="138" t="s">
        <v>309</v>
      </c>
      <c r="C58" s="134">
        <f>C55/$C$53</f>
        <v>3488399.9999999995</v>
      </c>
    </row>
    <row r="59" spans="1:7" x14ac:dyDescent="0.25">
      <c r="B59" s="138" t="s">
        <v>310</v>
      </c>
      <c r="C59" s="134">
        <f>C56/$C$53</f>
        <v>3723942.8571428568</v>
      </c>
    </row>
    <row r="60" spans="1:7" x14ac:dyDescent="0.25">
      <c r="B60" s="115" t="s">
        <v>311</v>
      </c>
      <c r="C60" s="136">
        <f>C58-C57</f>
        <v>322285.71428571409</v>
      </c>
    </row>
    <row r="61" spans="1:7" x14ac:dyDescent="0.25">
      <c r="B61" s="115" t="s">
        <v>312</v>
      </c>
      <c r="C61" s="136">
        <f>C59-C57</f>
        <v>557828.57142857136</v>
      </c>
    </row>
    <row r="63" spans="1:7" ht="19.5" customHeight="1" x14ac:dyDescent="0.25">
      <c r="A63" s="175" t="s">
        <v>313</v>
      </c>
      <c r="B63" s="175"/>
      <c r="C63" s="175"/>
      <c r="D63" s="175"/>
      <c r="E63" s="175"/>
      <c r="F63" s="175"/>
      <c r="G63" s="175"/>
    </row>
    <row r="64" spans="1:7" ht="24" customHeight="1" x14ac:dyDescent="0.25">
      <c r="B64" s="183" t="s">
        <v>314</v>
      </c>
      <c r="C64" s="183"/>
      <c r="D64" s="183"/>
      <c r="E64" s="183"/>
      <c r="F64" s="183"/>
      <c r="G64" s="183"/>
    </row>
    <row r="65" spans="2:7" ht="24" customHeight="1" x14ac:dyDescent="0.25">
      <c r="B65" s="183" t="s">
        <v>315</v>
      </c>
      <c r="C65" s="183"/>
      <c r="D65" s="183"/>
      <c r="E65" s="183"/>
      <c r="F65" s="183"/>
      <c r="G65" s="183"/>
    </row>
    <row r="66" spans="2:7" ht="24" customHeight="1" x14ac:dyDescent="0.25">
      <c r="B66" s="183" t="s">
        <v>316</v>
      </c>
      <c r="C66" s="183"/>
      <c r="D66" s="183"/>
      <c r="E66" s="183"/>
      <c r="F66" s="183"/>
      <c r="G66" s="183"/>
    </row>
    <row r="67" spans="2:7" ht="24" customHeight="1" x14ac:dyDescent="0.25">
      <c r="B67" s="183" t="s">
        <v>317</v>
      </c>
      <c r="C67" s="183"/>
      <c r="D67" s="183"/>
      <c r="E67" s="183"/>
      <c r="F67" s="183"/>
      <c r="G67" s="183"/>
    </row>
    <row r="68" spans="2:7" ht="24" customHeight="1" x14ac:dyDescent="0.25">
      <c r="B68" s="183" t="s">
        <v>318</v>
      </c>
      <c r="C68" s="183"/>
      <c r="D68" s="183"/>
      <c r="E68" s="183"/>
      <c r="F68" s="183"/>
      <c r="G68" s="183"/>
    </row>
    <row r="69" spans="2:7" ht="24" customHeight="1" x14ac:dyDescent="0.25">
      <c r="B69" s="183" t="s">
        <v>319</v>
      </c>
      <c r="C69" s="183"/>
      <c r="D69" s="183"/>
      <c r="E69" s="183"/>
      <c r="F69" s="183"/>
      <c r="G69" s="183"/>
    </row>
    <row r="70" spans="2:7" ht="24" customHeight="1" x14ac:dyDescent="0.25">
      <c r="B70" s="183" t="s">
        <v>320</v>
      </c>
      <c r="C70" s="183"/>
      <c r="D70" s="183"/>
      <c r="E70" s="183"/>
      <c r="F70" s="183"/>
      <c r="G70" s="183"/>
    </row>
  </sheetData>
  <mergeCells count="39">
    <mergeCell ref="B68:G68"/>
    <mergeCell ref="B69:G69"/>
    <mergeCell ref="B70:G70"/>
    <mergeCell ref="A52:G52"/>
    <mergeCell ref="A63:G63"/>
    <mergeCell ref="B64:G64"/>
    <mergeCell ref="B65:G65"/>
    <mergeCell ref="B66:G66"/>
    <mergeCell ref="B67:G67"/>
    <mergeCell ref="A45:G45"/>
    <mergeCell ref="F25:G25"/>
    <mergeCell ref="F26:G26"/>
    <mergeCell ref="F27:G27"/>
    <mergeCell ref="B28:G28"/>
    <mergeCell ref="A30:G30"/>
    <mergeCell ref="F32:G32"/>
    <mergeCell ref="F33:G33"/>
    <mergeCell ref="F34:G34"/>
    <mergeCell ref="F35:G35"/>
    <mergeCell ref="B36:G36"/>
    <mergeCell ref="A38:G38"/>
    <mergeCell ref="F24:G24"/>
    <mergeCell ref="C8:G8"/>
    <mergeCell ref="C9:G9"/>
    <mergeCell ref="C10:G10"/>
    <mergeCell ref="C11:G11"/>
    <mergeCell ref="C12:G12"/>
    <mergeCell ref="A14:G14"/>
    <mergeCell ref="F16:G16"/>
    <mergeCell ref="F17:G17"/>
    <mergeCell ref="F18:G18"/>
    <mergeCell ref="F19:G19"/>
    <mergeCell ref="A22:G22"/>
    <mergeCell ref="C7:G7"/>
    <mergeCell ref="A1:G1"/>
    <mergeCell ref="A2:G2"/>
    <mergeCell ref="A3:G3"/>
    <mergeCell ref="A4:G4"/>
    <mergeCell ref="A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</vt:lpstr>
      <vt:lpstr>2025 P&amp;L Given</vt:lpstr>
      <vt:lpstr>RR - Given</vt:lpstr>
      <vt:lpstr>Tax Analysis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 Edwards</dc:creator>
  <cp:keywords/>
  <dc:description/>
  <cp:lastModifiedBy>Taylor Perun</cp:lastModifiedBy>
  <cp:revision/>
  <dcterms:created xsi:type="dcterms:W3CDTF">2024-04-24T15:29:57Z</dcterms:created>
  <dcterms:modified xsi:type="dcterms:W3CDTF">2026-06-03T17:58:34Z</dcterms:modified>
  <cp:category/>
  <cp:contentStatus/>
</cp:coreProperties>
</file>