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omEgbers\NPCG Dropbox\Listings\Proposals - MA\NORWELL - 120 Longwater Dr\"/>
    </mc:Choice>
  </mc:AlternateContent>
  <xr:revisionPtr revIDLastSave="0" documentId="13_ncr:1_{27979E29-80DB-4E4E-BFB1-6B55ED295C76}" xr6:coauthVersionLast="47" xr6:coauthVersionMax="47" xr10:uidLastSave="{00000000-0000-0000-0000-000000000000}"/>
  <bookViews>
    <workbookView xWindow="0" yWindow="300" windowWidth="29040" windowHeight="15840" tabRatio="500" xr2:uid="{00000000-000D-0000-FFFF-FFFF00000000}"/>
  </bookViews>
  <sheets>
    <sheet name="Current" sheetId="1" r:id="rId1"/>
    <sheet name="Financial 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N13" i="1"/>
  <c r="O13" i="1" s="1"/>
  <c r="I8" i="1"/>
  <c r="P9" i="1"/>
  <c r="Q9" i="1" s="1"/>
  <c r="O7" i="1"/>
  <c r="O8" i="1"/>
  <c r="O9" i="1"/>
  <c r="O10" i="1"/>
  <c r="O11" i="1"/>
  <c r="O15" i="1"/>
  <c r="O16" i="1"/>
  <c r="O18" i="1"/>
  <c r="O19" i="1"/>
  <c r="O20" i="1"/>
  <c r="N17" i="1" l="1"/>
  <c r="O17" i="1" s="1"/>
  <c r="P19" i="1" l="1"/>
  <c r="Q19" i="1" s="1"/>
  <c r="P17" i="1"/>
  <c r="Q17" i="1" s="1"/>
  <c r="P18" i="1"/>
  <c r="Q18" i="1" s="1"/>
  <c r="K9" i="1"/>
  <c r="K10" i="1"/>
  <c r="K7" i="1"/>
  <c r="K6" i="1"/>
  <c r="I9" i="1"/>
  <c r="C12" i="1"/>
  <c r="H12" i="1"/>
  <c r="H13" i="1" s="1"/>
  <c r="B19" i="1" s="1"/>
  <c r="K12" i="1" l="1"/>
  <c r="K13" i="1" s="1"/>
  <c r="I19" i="1" s="1"/>
  <c r="C13" i="1"/>
  <c r="B16" i="1" s="1"/>
  <c r="P15" i="1" l="1"/>
  <c r="Q15" i="1" s="1"/>
  <c r="P10" i="1"/>
  <c r="Q10" i="1" s="1"/>
  <c r="N32" i="1"/>
  <c r="F10" i="1"/>
  <c r="F11" i="1"/>
  <c r="N33" i="1" l="1"/>
  <c r="N6" i="1" s="1"/>
  <c r="P6" i="1" s="1"/>
  <c r="J11" i="1"/>
  <c r="J10" i="1"/>
  <c r="J7" i="1"/>
  <c r="J8" i="1"/>
  <c r="J9" i="1"/>
  <c r="F7" i="1"/>
  <c r="F8" i="1"/>
  <c r="F6" i="1"/>
  <c r="O12" i="1"/>
  <c r="E12" i="3"/>
  <c r="O6" i="1" l="1"/>
  <c r="E12" i="1"/>
  <c r="J6" i="1"/>
  <c r="F12" i="3"/>
  <c r="V19" i="1"/>
  <c r="U23" i="1" l="1"/>
  <c r="P12" i="1" l="1"/>
  <c r="Q12" i="1" s="1"/>
  <c r="V6" i="1" l="1"/>
  <c r="Q13" i="1"/>
  <c r="P16" i="1"/>
  <c r="Q16" i="1" s="1"/>
  <c r="P20" i="1"/>
  <c r="Q20" i="1" s="1"/>
  <c r="I12" i="1"/>
  <c r="I13" i="1" s="1"/>
  <c r="Q7" i="1"/>
  <c r="P8" i="1"/>
  <c r="Q8" i="1" s="1"/>
  <c r="P11" i="1"/>
  <c r="Q11" i="1" s="1"/>
  <c r="U10" i="1"/>
  <c r="I16" i="1" l="1"/>
  <c r="E11" i="3"/>
  <c r="E14" i="3" s="1"/>
  <c r="I17" i="1" l="1"/>
  <c r="I18" i="1" s="1"/>
  <c r="F11" i="3"/>
  <c r="B17" i="1"/>
  <c r="B18" i="1" s="1"/>
  <c r="N14" i="1" l="1"/>
  <c r="O14" i="1" s="1"/>
  <c r="B20" i="1"/>
  <c r="I20" i="1"/>
  <c r="P14" i="1"/>
  <c r="Q14" i="1" s="1"/>
  <c r="E13" i="3"/>
  <c r="F14" i="3"/>
  <c r="F13" i="3"/>
  <c r="N21" i="1" l="1"/>
  <c r="O21" i="1" s="1"/>
  <c r="E15" i="3"/>
  <c r="F15" i="3"/>
  <c r="N23" i="1" l="1"/>
  <c r="N24" i="1"/>
  <c r="B22" i="1" l="1"/>
  <c r="B23" i="1" s="1"/>
  <c r="B24" i="1" s="1"/>
  <c r="E16" i="3"/>
  <c r="E17" i="3" s="1"/>
  <c r="E27" i="1" l="1"/>
  <c r="E23" i="1"/>
  <c r="E22" i="1"/>
  <c r="I25" i="1"/>
  <c r="I31" i="1" s="1"/>
  <c r="E26" i="1"/>
  <c r="E25" i="1"/>
  <c r="E24" i="1"/>
  <c r="E4" i="3" l="1"/>
  <c r="U6" i="1"/>
  <c r="U11" i="1" s="1"/>
  <c r="U15" i="1" s="1"/>
  <c r="B26" i="1"/>
  <c r="B31" i="1"/>
  <c r="E19" i="3" s="1"/>
  <c r="U19" i="1"/>
  <c r="E7" i="3" l="1"/>
  <c r="E5" i="3"/>
  <c r="F5" i="3"/>
  <c r="E6" i="3"/>
  <c r="F4" i="3"/>
  <c r="F6" i="3" s="1"/>
  <c r="E20" i="3"/>
  <c r="F20" i="3" s="1"/>
  <c r="E22" i="3"/>
  <c r="F22" i="3" s="1"/>
  <c r="F21" i="3" s="1"/>
  <c r="B28" i="1"/>
  <c r="E21" i="3" s="1"/>
  <c r="U12" i="1"/>
  <c r="U13" i="1" s="1"/>
  <c r="B29" i="1" l="1"/>
  <c r="B30" i="1" s="1"/>
  <c r="P31" i="1" l="1"/>
  <c r="P32" i="1" s="1"/>
  <c r="P33" i="1" s="1"/>
  <c r="I26" i="1"/>
  <c r="U24" i="1"/>
  <c r="I28" i="1" s="1"/>
  <c r="F19" i="3"/>
  <c r="E23" i="3"/>
  <c r="E8" i="3" s="1"/>
  <c r="E9" i="3"/>
  <c r="P21" i="1" l="1"/>
  <c r="Q21" i="1" s="1"/>
  <c r="U25" i="1"/>
  <c r="U26" i="1" s="1"/>
  <c r="Q6" i="1" l="1"/>
  <c r="I22" i="1"/>
  <c r="I23" i="1" s="1"/>
  <c r="F16" i="3"/>
  <c r="F17" i="3" s="1"/>
  <c r="P23" i="1"/>
  <c r="F27" i="1" l="1"/>
  <c r="P24" i="1"/>
  <c r="F26" i="1"/>
  <c r="F25" i="1"/>
  <c r="F24" i="1"/>
  <c r="F23" i="1"/>
  <c r="F22" i="1"/>
  <c r="F7" i="3"/>
  <c r="F9" i="3"/>
  <c r="F23" i="3"/>
  <c r="F8" i="3" s="1"/>
  <c r="I24" i="1"/>
  <c r="U28" i="1"/>
  <c r="I29" i="1"/>
  <c r="I30" i="1" s="1"/>
</calcChain>
</file>

<file path=xl/sharedStrings.xml><?xml version="1.0" encoding="utf-8"?>
<sst xmlns="http://schemas.openxmlformats.org/spreadsheetml/2006/main" count="118" uniqueCount="96">
  <si>
    <t>Unit</t>
  </si>
  <si>
    <t>Income</t>
  </si>
  <si>
    <t>Insurance</t>
  </si>
  <si>
    <t>GOI</t>
  </si>
  <si>
    <t>Total Expenses:</t>
  </si>
  <si>
    <t>NOI</t>
  </si>
  <si>
    <t>Cap Rate</t>
  </si>
  <si>
    <t>List Price</t>
  </si>
  <si>
    <t>Mortgage</t>
  </si>
  <si>
    <t>Cash Flow</t>
  </si>
  <si>
    <t>Cash on Cash</t>
  </si>
  <si>
    <t>Mortgage Calculator</t>
  </si>
  <si>
    <t>Annual Interest Rate</t>
  </si>
  <si>
    <t>Life Loan (in years)</t>
  </si>
  <si>
    <t>Number of Payments per year</t>
  </si>
  <si>
    <t>Total Number of Payments</t>
  </si>
  <si>
    <t>Payment per Period</t>
  </si>
  <si>
    <t>Sum of Payments</t>
  </si>
  <si>
    <t>Interest Cost</t>
  </si>
  <si>
    <t>Expense Ratio</t>
  </si>
  <si>
    <t>Taxes</t>
  </si>
  <si>
    <t>Trash Removal</t>
  </si>
  <si>
    <t>Snow &amp; Landscape</t>
  </si>
  <si>
    <t>DCR</t>
  </si>
  <si>
    <t>GOI (less vacancy)</t>
  </si>
  <si>
    <t>Gross Effective</t>
  </si>
  <si>
    <t>Notes</t>
  </si>
  <si>
    <t>Pro Forma</t>
  </si>
  <si>
    <t>SF</t>
  </si>
  <si>
    <t>Per SF</t>
  </si>
  <si>
    <t>Property Management (5%)</t>
  </si>
  <si>
    <t>Address:</t>
  </si>
  <si>
    <t>Unit Count:</t>
  </si>
  <si>
    <t>Expenses</t>
  </si>
  <si>
    <t>Current</t>
  </si>
  <si>
    <t>Repairs &amp; Maintenance</t>
  </si>
  <si>
    <t>Vacancy</t>
  </si>
  <si>
    <t>$ down</t>
  </si>
  <si>
    <t>Loan Amount</t>
  </si>
  <si>
    <t>Income Summary</t>
  </si>
  <si>
    <t>Price</t>
  </si>
  <si>
    <t>GRM</t>
  </si>
  <si>
    <t>CAP Rate</t>
  </si>
  <si>
    <t>Cash-on-Cash Return</t>
  </si>
  <si>
    <t>Debt Coverage Ratio</t>
  </si>
  <si>
    <t>Operating Data</t>
  </si>
  <si>
    <t>Gross Scheduled Income</t>
  </si>
  <si>
    <t>Other Income</t>
  </si>
  <si>
    <t>Total Scheduled Income</t>
  </si>
  <si>
    <t>Vacancy Cost</t>
  </si>
  <si>
    <t>Gross Income</t>
  </si>
  <si>
    <t>Operating Expenses</t>
  </si>
  <si>
    <t>Net Operating Income</t>
  </si>
  <si>
    <t>Financing Data</t>
  </si>
  <si>
    <t>Down Payment</t>
  </si>
  <si>
    <t>Debt Service</t>
  </si>
  <si>
    <t>Debt Service Monthly</t>
  </si>
  <si>
    <t>Pre-Tax Cash Flow</t>
  </si>
  <si>
    <t>** Loan information is for illustrative purposes and is subject to change. Please conduct your own independent review</t>
  </si>
  <si>
    <t>Rentable SF:</t>
  </si>
  <si>
    <t>Pro- Forma / Refi Mortgage Calculator</t>
  </si>
  <si>
    <t>Tenant</t>
  </si>
  <si>
    <t>Lease Term</t>
  </si>
  <si>
    <t>Tenant Reimbursements</t>
  </si>
  <si>
    <t>Fire Alarm</t>
  </si>
  <si>
    <t>Monthly</t>
  </si>
  <si>
    <t>Annually</t>
  </si>
  <si>
    <t>Electric</t>
  </si>
  <si>
    <t>CAM/TAX</t>
  </si>
  <si>
    <t>102</t>
  </si>
  <si>
    <t>103</t>
  </si>
  <si>
    <t>105</t>
  </si>
  <si>
    <t>106</t>
  </si>
  <si>
    <t>200</t>
  </si>
  <si>
    <t>120 Longwater Dr Norwell, MA</t>
  </si>
  <si>
    <t>Contravisory</t>
  </si>
  <si>
    <t>Alera Group</t>
  </si>
  <si>
    <t>Veterans Development Corp</t>
  </si>
  <si>
    <t>Jets.com</t>
  </si>
  <si>
    <t>NVNA Foundation, Inc.</t>
  </si>
  <si>
    <t>Elevator Maintenance</t>
  </si>
  <si>
    <t>Security / Telephone</t>
  </si>
  <si>
    <t>assessed $5,566,300</t>
  </si>
  <si>
    <t>Payroll</t>
  </si>
  <si>
    <t>Pro Forma Cap Rate</t>
  </si>
  <si>
    <t>Sewer</t>
  </si>
  <si>
    <t>Water</t>
  </si>
  <si>
    <t>Heat</t>
  </si>
  <si>
    <t>Janitorial / Cleaning</t>
  </si>
  <si>
    <t>communications?</t>
  </si>
  <si>
    <t>estimate</t>
  </si>
  <si>
    <t>electric</t>
  </si>
  <si>
    <t>Price/SF</t>
  </si>
  <si>
    <t>aler</t>
  </si>
  <si>
    <t>101</t>
  </si>
  <si>
    <t>NORD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</si>
</sst>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22" x14ac:knownFonts="1"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6" fillId="0" borderId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84">
    <xf numFmtId="0" fontId="0" fillId="0" borderId="0" xfId="0"/>
    <xf numFmtId="0" fontId="18" fillId="0" borderId="1" xfId="0" applyFont="1" applyBorder="1" applyAlignment="1">
      <alignment horizontal="center"/>
    </xf>
    <xf numFmtId="0" fontId="18" fillId="0" borderId="0" xfId="0" applyFont="1"/>
    <xf numFmtId="164" fontId="18" fillId="0" borderId="0" xfId="0" applyNumberFormat="1" applyFont="1"/>
    <xf numFmtId="8" fontId="18" fillId="0" borderId="0" xfId="0" applyNumberFormat="1" applyFont="1"/>
    <xf numFmtId="44" fontId="18" fillId="0" borderId="0" xfId="1" applyFont="1"/>
    <xf numFmtId="0" fontId="18" fillId="0" borderId="0" xfId="0" applyFont="1" applyAlignment="1">
      <alignment horizontal="center"/>
    </xf>
    <xf numFmtId="44" fontId="18" fillId="0" borderId="1" xfId="1" applyFont="1" applyBorder="1" applyAlignment="1">
      <alignment horizontal="center"/>
    </xf>
    <xf numFmtId="0" fontId="15" fillId="0" borderId="0" xfId="0" applyFont="1"/>
    <xf numFmtId="44" fontId="15" fillId="0" borderId="0" xfId="1" applyFont="1" applyBorder="1"/>
    <xf numFmtId="44" fontId="15" fillId="0" borderId="0" xfId="0" applyNumberFormat="1" applyFont="1"/>
    <xf numFmtId="44" fontId="15" fillId="0" borderId="0" xfId="1" applyFont="1"/>
    <xf numFmtId="10" fontId="15" fillId="0" borderId="0" xfId="0" applyNumberFormat="1" applyFont="1"/>
    <xf numFmtId="10" fontId="15" fillId="0" borderId="0" xfId="2" applyNumberFormat="1" applyFont="1"/>
    <xf numFmtId="164" fontId="15" fillId="0" borderId="0" xfId="1" applyNumberFormat="1" applyFont="1"/>
    <xf numFmtId="164" fontId="15" fillId="0" borderId="0" xfId="0" applyNumberFormat="1" applyFont="1"/>
    <xf numFmtId="2" fontId="15" fillId="0" borderId="0" xfId="0" applyNumberFormat="1" applyFont="1"/>
    <xf numFmtId="165" fontId="15" fillId="0" borderId="0" xfId="6" applyNumberFormat="1" applyFont="1"/>
    <xf numFmtId="0" fontId="13" fillId="0" borderId="0" xfId="0" applyFont="1"/>
    <xf numFmtId="44" fontId="15" fillId="0" borderId="0" xfId="1" applyFont="1" applyFill="1"/>
    <xf numFmtId="0" fontId="0" fillId="0" borderId="2" xfId="0" applyBorder="1"/>
    <xf numFmtId="0" fontId="20" fillId="0" borderId="2" xfId="0" applyFont="1" applyBorder="1"/>
    <xf numFmtId="0" fontId="12" fillId="0" borderId="4" xfId="0" applyFont="1" applyBorder="1"/>
    <xf numFmtId="164" fontId="12" fillId="0" borderId="4" xfId="1" applyNumberFormat="1" applyFont="1" applyFill="1" applyBorder="1" applyAlignment="1">
      <alignment horizontal="right"/>
    </xf>
    <xf numFmtId="164" fontId="12" fillId="0" borderId="5" xfId="1" applyNumberFormat="1" applyFont="1" applyBorder="1"/>
    <xf numFmtId="0" fontId="12" fillId="0" borderId="0" xfId="0" applyFont="1"/>
    <xf numFmtId="43" fontId="12" fillId="0" borderId="0" xfId="6" applyFont="1" applyBorder="1" applyAlignment="1">
      <alignment horizontal="right"/>
    </xf>
    <xf numFmtId="43" fontId="12" fillId="0" borderId="7" xfId="6" applyFont="1" applyBorder="1"/>
    <xf numFmtId="10" fontId="12" fillId="0" borderId="0" xfId="2" applyNumberFormat="1" applyFont="1" applyFill="1" applyBorder="1" applyAlignment="1">
      <alignment horizontal="right"/>
    </xf>
    <xf numFmtId="10" fontId="12" fillId="0" borderId="7" xfId="2" applyNumberFormat="1" applyFont="1" applyBorder="1"/>
    <xf numFmtId="10" fontId="12" fillId="0" borderId="0" xfId="2" applyNumberFormat="1" applyFont="1" applyBorder="1" applyAlignment="1">
      <alignment horizontal="right"/>
    </xf>
    <xf numFmtId="0" fontId="12" fillId="0" borderId="2" xfId="0" applyFont="1" applyBorder="1"/>
    <xf numFmtId="43" fontId="20" fillId="0" borderId="2" xfId="6" applyFont="1" applyBorder="1" applyAlignment="1">
      <alignment horizontal="right"/>
    </xf>
    <xf numFmtId="43" fontId="12" fillId="0" borderId="9" xfId="6" applyFont="1" applyBorder="1"/>
    <xf numFmtId="0" fontId="20" fillId="0" borderId="0" xfId="0" applyFont="1" applyAlignment="1">
      <alignment horizontal="right"/>
    </xf>
    <xf numFmtId="0" fontId="0" fillId="0" borderId="4" xfId="0" applyBorder="1"/>
    <xf numFmtId="164" fontId="20" fillId="0" borderId="4" xfId="0" applyNumberFormat="1" applyFont="1" applyBorder="1" applyAlignment="1">
      <alignment horizontal="right"/>
    </xf>
    <xf numFmtId="164" fontId="12" fillId="0" borderId="0" xfId="1" applyNumberFormat="1" applyFont="1" applyBorder="1" applyAlignment="1">
      <alignment horizontal="left"/>
    </xf>
    <xf numFmtId="164" fontId="12" fillId="0" borderId="7" xfId="1" applyNumberFormat="1" applyFont="1" applyBorder="1"/>
    <xf numFmtId="164" fontId="20" fillId="0" borderId="2" xfId="0" applyNumberFormat="1" applyFont="1" applyBorder="1" applyAlignment="1">
      <alignment horizontal="right"/>
    </xf>
    <xf numFmtId="164" fontId="12" fillId="0" borderId="9" xfId="1" applyNumberFormat="1" applyFont="1" applyBorder="1"/>
    <xf numFmtId="164" fontId="12" fillId="0" borderId="0" xfId="1" applyNumberFormat="1" applyFont="1" applyFill="1" applyBorder="1" applyAlignment="1">
      <alignment horizontal="right"/>
    </xf>
    <xf numFmtId="164" fontId="12" fillId="0" borderId="7" xfId="2" applyNumberFormat="1" applyFont="1" applyBorder="1"/>
    <xf numFmtId="164" fontId="12" fillId="0" borderId="0" xfId="1" applyNumberFormat="1" applyFont="1" applyBorder="1" applyAlignment="1">
      <alignment horizontal="right"/>
    </xf>
    <xf numFmtId="164" fontId="12" fillId="0" borderId="2" xfId="1" applyNumberFormat="1" applyFont="1" applyFill="1" applyBorder="1" applyAlignment="1">
      <alignment horizontal="right"/>
    </xf>
    <xf numFmtId="164" fontId="12" fillId="0" borderId="9" xfId="0" applyNumberFormat="1" applyFont="1" applyBorder="1"/>
    <xf numFmtId="0" fontId="12" fillId="0" borderId="0" xfId="0" applyFont="1" applyAlignment="1">
      <alignment horizontal="right"/>
    </xf>
    <xf numFmtId="0" fontId="11" fillId="0" borderId="0" xfId="0" applyFont="1"/>
    <xf numFmtId="165" fontId="11" fillId="0" borderId="0" xfId="6" applyNumberFormat="1" applyFont="1" applyBorder="1"/>
    <xf numFmtId="44" fontId="11" fillId="0" borderId="0" xfId="1" applyFont="1" applyFill="1" applyBorder="1"/>
    <xf numFmtId="164" fontId="11" fillId="0" borderId="0" xfId="1" applyNumberFormat="1" applyFont="1" applyBorder="1" applyAlignment="1">
      <alignment horizontal="left"/>
    </xf>
    <xf numFmtId="0" fontId="10" fillId="0" borderId="0" xfId="0" applyFont="1"/>
    <xf numFmtId="0" fontId="15" fillId="0" borderId="0" xfId="0" applyFont="1" applyAlignment="1">
      <alignment horizontal="center"/>
    </xf>
    <xf numFmtId="0" fontId="9" fillId="0" borderId="0" xfId="0" applyFont="1"/>
    <xf numFmtId="14" fontId="15" fillId="0" borderId="0" xfId="0" applyNumberFormat="1" applyFont="1"/>
    <xf numFmtId="0" fontId="8" fillId="0" borderId="0" xfId="0" applyFont="1"/>
    <xf numFmtId="44" fontId="7" fillId="0" borderId="0" xfId="1" applyFont="1"/>
    <xf numFmtId="165" fontId="11" fillId="0" borderId="1" xfId="6" applyNumberFormat="1" applyFont="1" applyBorder="1"/>
    <xf numFmtId="44" fontId="14" fillId="0" borderId="0" xfId="1" applyFont="1"/>
    <xf numFmtId="44" fontId="9" fillId="0" borderId="0" xfId="1" applyFont="1"/>
    <xf numFmtId="0" fontId="6" fillId="0" borderId="0" xfId="0" applyFont="1"/>
    <xf numFmtId="165" fontId="15" fillId="0" borderId="0" xfId="0" applyNumberFormat="1" applyFont="1"/>
    <xf numFmtId="49" fontId="5" fillId="0" borderId="0" xfId="0" applyNumberFormat="1" applyFont="1"/>
    <xf numFmtId="0" fontId="5" fillId="0" borderId="0" xfId="0" applyFont="1"/>
    <xf numFmtId="44" fontId="5" fillId="0" borderId="0" xfId="1" applyFont="1"/>
    <xf numFmtId="10" fontId="15" fillId="0" borderId="0" xfId="2" applyNumberFormat="1" applyFont="1" applyAlignment="1">
      <alignment horizontal="center"/>
    </xf>
    <xf numFmtId="44" fontId="15" fillId="0" borderId="0" xfId="0" applyNumberFormat="1" applyFont="1" applyAlignment="1">
      <alignment horizontal="center"/>
    </xf>
    <xf numFmtId="0" fontId="4" fillId="0" borderId="0" xfId="0" applyFont="1"/>
    <xf numFmtId="44" fontId="4" fillId="0" borderId="0" xfId="1" applyFont="1"/>
    <xf numFmtId="14" fontId="9" fillId="0" borderId="0" xfId="0" applyNumberFormat="1" applyFont="1"/>
    <xf numFmtId="44" fontId="3" fillId="0" borderId="0" xfId="1" applyFont="1"/>
    <xf numFmtId="0" fontId="2" fillId="0" borderId="0" xfId="0" applyFont="1"/>
    <xf numFmtId="44" fontId="12" fillId="0" borderId="0" xfId="1" applyFont="1" applyBorder="1" applyAlignment="1">
      <alignment horizontal="right"/>
    </xf>
    <xf numFmtId="44" fontId="12" fillId="0" borderId="7" xfId="1" applyFont="1" applyBorder="1"/>
    <xf numFmtId="0" fontId="1" fillId="0" borderId="0" xfId="0" applyFont="1"/>
    <xf numFmtId="0" fontId="18" fillId="0" borderId="1" xfId="0" applyFont="1" applyBorder="1" applyAlignment="1">
      <alignment horizontal="center"/>
    </xf>
    <xf numFmtId="0" fontId="0" fillId="0" borderId="3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12" fillId="0" borderId="3" xfId="0" applyFont="1" applyBorder="1" applyAlignment="1">
      <alignment horizontal="center" vertical="center" textRotation="90"/>
    </xf>
    <xf numFmtId="0" fontId="12" fillId="0" borderId="6" xfId="0" applyFont="1" applyBorder="1" applyAlignment="1">
      <alignment horizontal="center" vertical="center" textRotation="90"/>
    </xf>
    <xf numFmtId="0" fontId="12" fillId="0" borderId="8" xfId="0" applyFont="1" applyBorder="1" applyAlignment="1">
      <alignment horizontal="center" vertical="center" textRotation="90"/>
    </xf>
    <xf numFmtId="0" fontId="21" fillId="0" borderId="0" xfId="0" applyFont="1" applyAlignment="1">
      <alignment horizontal="left" wrapText="1"/>
    </xf>
    <xf numFmtId="49" fontId="1" fillId="0" borderId="0" xfId="0" applyNumberFormat="1" applyFont="1"/>
  </cellXfs>
  <cellStyles count="7">
    <cellStyle name="Comma" xfId="6" builtinId="3"/>
    <cellStyle name="Currency" xfId="1" builtinId="4"/>
    <cellStyle name="Currency 2" xfId="4" xr:uid="{00000000-0005-0000-0000-000001000000}"/>
    <cellStyle name="Normal" xfId="0" builtinId="0"/>
    <cellStyle name="Normal 2" xfId="3" xr:uid="{00000000-0005-0000-0000-000003000000}"/>
    <cellStyle name="Percent" xfId="2" builtinId="5"/>
    <cellStyle name="Percent 2" xfId="5" xr:uid="{00000000-0005-0000-0000-000005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tabSelected="1" zoomScale="90" zoomScaleNormal="90" workbookViewId="0">
      <selection activeCell="C11" sqref="C11"/>
    </sheetView>
  </sheetViews>
  <sheetFormatPr defaultColWidth="11" defaultRowHeight="15" x14ac:dyDescent="0.25"/>
  <cols>
    <col min="1" max="1" width="19.125" style="8" customWidth="1"/>
    <col min="2" max="2" width="15.125" style="8" bestFit="1" customWidth="1"/>
    <col min="3" max="3" width="13.125" style="8" customWidth="1"/>
    <col min="4" max="4" width="24.125" style="8" bestFit="1" customWidth="1"/>
    <col min="5" max="5" width="14.125" style="8" bestFit="1" customWidth="1"/>
    <col min="6" max="6" width="16.5" style="8" customWidth="1"/>
    <col min="7" max="7" width="11.625" style="8" bestFit="1" customWidth="1"/>
    <col min="8" max="8" width="14.875" style="8" customWidth="1"/>
    <col min="9" max="9" width="14.125" style="8" bestFit="1" customWidth="1"/>
    <col min="10" max="12" width="11" style="8"/>
    <col min="13" max="13" width="24.875" style="8" bestFit="1" customWidth="1"/>
    <col min="14" max="14" width="13.125" style="8" bestFit="1" customWidth="1"/>
    <col min="15" max="15" width="11.625" style="8" customWidth="1"/>
    <col min="16" max="16" width="14.125" style="8" bestFit="1" customWidth="1"/>
    <col min="17" max="17" width="13.125" style="8" customWidth="1"/>
    <col min="18" max="18" width="18.375" style="8" bestFit="1" customWidth="1"/>
    <col min="19" max="19" width="11" style="8"/>
    <col min="20" max="20" width="25.625" style="8" bestFit="1" customWidth="1"/>
    <col min="21" max="21" width="13.5" style="8" bestFit="1" customWidth="1"/>
    <col min="22" max="16384" width="11" style="8"/>
  </cols>
  <sheetData>
    <row r="1" spans="1:22" x14ac:dyDescent="0.25">
      <c r="A1" s="2" t="s">
        <v>31</v>
      </c>
      <c r="B1" s="63" t="s">
        <v>74</v>
      </c>
    </row>
    <row r="2" spans="1:22" x14ac:dyDescent="0.25">
      <c r="A2" s="8" t="s">
        <v>32</v>
      </c>
      <c r="B2" s="8">
        <v>0</v>
      </c>
    </row>
    <row r="3" spans="1:22" x14ac:dyDescent="0.25">
      <c r="A3" s="47" t="s">
        <v>59</v>
      </c>
      <c r="B3" s="17">
        <v>51035</v>
      </c>
    </row>
    <row r="5" spans="1:22" x14ac:dyDescent="0.25">
      <c r="B5" s="1" t="s">
        <v>0</v>
      </c>
      <c r="C5" s="7" t="s">
        <v>1</v>
      </c>
      <c r="D5" s="1" t="s">
        <v>61</v>
      </c>
      <c r="E5" s="1" t="s">
        <v>28</v>
      </c>
      <c r="F5" s="1" t="s">
        <v>29</v>
      </c>
      <c r="G5" s="1" t="s">
        <v>62</v>
      </c>
      <c r="H5" s="1" t="s">
        <v>68</v>
      </c>
      <c r="I5" s="1" t="s">
        <v>27</v>
      </c>
      <c r="J5" s="1" t="s">
        <v>29</v>
      </c>
      <c r="K5" s="1" t="s">
        <v>68</v>
      </c>
      <c r="M5" s="1" t="s">
        <v>33</v>
      </c>
      <c r="N5" s="1" t="s">
        <v>34</v>
      </c>
      <c r="O5" s="1" t="s">
        <v>29</v>
      </c>
      <c r="P5" s="1" t="s">
        <v>27</v>
      </c>
      <c r="Q5" s="1" t="s">
        <v>29</v>
      </c>
      <c r="R5" s="1" t="s">
        <v>26</v>
      </c>
      <c r="T5" s="75" t="s">
        <v>11</v>
      </c>
      <c r="U5" s="75"/>
    </row>
    <row r="6" spans="1:22" x14ac:dyDescent="0.25">
      <c r="A6" s="52"/>
      <c r="B6" s="83" t="s">
        <v>94</v>
      </c>
      <c r="C6" s="49">
        <v>7398.15</v>
      </c>
      <c r="D6" s="63" t="s">
        <v>75</v>
      </c>
      <c r="E6" s="48">
        <v>3515</v>
      </c>
      <c r="F6" s="10">
        <f>(C6/E6)*12</f>
        <v>25.256842105263161</v>
      </c>
      <c r="G6" s="54">
        <v>46173</v>
      </c>
      <c r="H6" s="58">
        <v>439.37</v>
      </c>
      <c r="I6" s="9">
        <v>7322.92</v>
      </c>
      <c r="J6" s="9">
        <f>(I6/E6)*12</f>
        <v>25.000011379800853</v>
      </c>
      <c r="K6" s="9">
        <f>H6</f>
        <v>439.37</v>
      </c>
      <c r="M6" s="8" t="s">
        <v>20</v>
      </c>
      <c r="N6" s="11">
        <f>N33</f>
        <v>74922.398000000001</v>
      </c>
      <c r="O6" s="11">
        <f>N6/51035</f>
        <v>1.4680591358871362</v>
      </c>
      <c r="P6" s="19">
        <f>N6</f>
        <v>74922.398000000001</v>
      </c>
      <c r="Q6" s="19">
        <f>P6/51035</f>
        <v>1.4680591358871362</v>
      </c>
      <c r="R6" s="64" t="s">
        <v>82</v>
      </c>
      <c r="T6" s="2" t="s">
        <v>38</v>
      </c>
      <c r="U6" s="3">
        <f>V6*B25</f>
        <v>5950000</v>
      </c>
      <c r="V6" s="12">
        <f>1-C31</f>
        <v>0.7</v>
      </c>
    </row>
    <row r="7" spans="1:22" x14ac:dyDescent="0.25">
      <c r="A7" s="52"/>
      <c r="B7" s="62" t="s">
        <v>69</v>
      </c>
      <c r="C7" s="49">
        <v>16628.21</v>
      </c>
      <c r="D7" s="63" t="s">
        <v>76</v>
      </c>
      <c r="E7" s="48">
        <v>8491</v>
      </c>
      <c r="F7" s="10">
        <f t="shared" ref="F7:F11" si="0">(C7/E7)*12</f>
        <v>23.500002355435164</v>
      </c>
      <c r="G7" s="54">
        <v>47269</v>
      </c>
      <c r="H7" s="59">
        <v>707.58</v>
      </c>
      <c r="I7" s="9">
        <v>16274.42</v>
      </c>
      <c r="J7" s="9">
        <f t="shared" ref="J7:J11" si="1">(I7/E7)*12</f>
        <v>23.000004710870336</v>
      </c>
      <c r="K7" s="9">
        <f>H7</f>
        <v>707.58</v>
      </c>
      <c r="M7" s="8" t="s">
        <v>2</v>
      </c>
      <c r="N7" s="11">
        <v>10701</v>
      </c>
      <c r="O7" s="11">
        <f t="shared" ref="O7:O21" si="2">N7/51035</f>
        <v>0.20967963162535516</v>
      </c>
      <c r="P7" s="11">
        <v>22000</v>
      </c>
      <c r="Q7" s="19">
        <f t="shared" ref="Q7:Q21" si="3">P7/51035</f>
        <v>0.43107671206035075</v>
      </c>
      <c r="R7" s="68" t="s">
        <v>90</v>
      </c>
      <c r="T7" s="8" t="s">
        <v>12</v>
      </c>
      <c r="U7" s="13">
        <v>6.5000000000000002E-2</v>
      </c>
    </row>
    <row r="8" spans="1:22" x14ac:dyDescent="0.25">
      <c r="A8" s="52"/>
      <c r="B8" s="62" t="s">
        <v>70</v>
      </c>
      <c r="C8" s="49">
        <v>13160.42</v>
      </c>
      <c r="D8" s="63" t="s">
        <v>77</v>
      </c>
      <c r="E8" s="48">
        <v>6317</v>
      </c>
      <c r="F8" s="10">
        <f t="shared" si="0"/>
        <v>25.000006332119678</v>
      </c>
      <c r="G8" s="54">
        <v>46630</v>
      </c>
      <c r="H8" s="59">
        <v>0</v>
      </c>
      <c r="I8" s="9">
        <f>C8</f>
        <v>13160.42</v>
      </c>
      <c r="J8" s="9">
        <f t="shared" si="1"/>
        <v>25.000006332119678</v>
      </c>
      <c r="K8" s="9">
        <v>0</v>
      </c>
      <c r="M8" s="67" t="s">
        <v>86</v>
      </c>
      <c r="N8" s="11">
        <v>5048</v>
      </c>
      <c r="O8" s="11">
        <f t="shared" si="2"/>
        <v>9.8912511021847754E-2</v>
      </c>
      <c r="P8" s="11">
        <f t="shared" ref="P8:P11" si="4">N8</f>
        <v>5048</v>
      </c>
      <c r="Q8" s="19">
        <f t="shared" si="3"/>
        <v>9.8912511021847754E-2</v>
      </c>
      <c r="R8" s="11"/>
      <c r="T8" s="8" t="s">
        <v>13</v>
      </c>
      <c r="U8" s="8">
        <v>25</v>
      </c>
    </row>
    <row r="9" spans="1:22" x14ac:dyDescent="0.25">
      <c r="A9" s="52"/>
      <c r="B9" s="62" t="s">
        <v>71</v>
      </c>
      <c r="C9" s="49">
        <f>(F9*E9)/12</f>
        <v>4087.5</v>
      </c>
      <c r="D9" s="74" t="s">
        <v>95</v>
      </c>
      <c r="E9" s="48">
        <v>1962</v>
      </c>
      <c r="F9" s="10">
        <v>25</v>
      </c>
      <c r="G9" s="54">
        <v>47848</v>
      </c>
      <c r="H9" s="59">
        <v>245.25</v>
      </c>
      <c r="I9" s="9">
        <f>E9*25/12</f>
        <v>4087.5</v>
      </c>
      <c r="J9" s="9">
        <f t="shared" si="1"/>
        <v>25</v>
      </c>
      <c r="K9" s="9">
        <f>E9*0.125</f>
        <v>245.25</v>
      </c>
      <c r="M9" s="67" t="s">
        <v>85</v>
      </c>
      <c r="N9" s="11">
        <v>4856</v>
      </c>
      <c r="O9" s="11">
        <f t="shared" si="2"/>
        <v>9.5150386989321059E-2</v>
      </c>
      <c r="P9" s="11">
        <f>N9</f>
        <v>4856</v>
      </c>
      <c r="Q9" s="19">
        <f t="shared" si="3"/>
        <v>9.5150386989321059E-2</v>
      </c>
      <c r="R9" s="11"/>
      <c r="T9" s="8" t="s">
        <v>14</v>
      </c>
      <c r="U9" s="8">
        <v>12</v>
      </c>
    </row>
    <row r="10" spans="1:22" x14ac:dyDescent="0.25">
      <c r="A10" s="52"/>
      <c r="B10" s="62" t="s">
        <v>72</v>
      </c>
      <c r="C10" s="49">
        <v>8985.3700000000008</v>
      </c>
      <c r="D10" s="63" t="s">
        <v>78</v>
      </c>
      <c r="E10" s="48">
        <v>4401</v>
      </c>
      <c r="F10" s="10">
        <f t="shared" si="0"/>
        <v>24.499986366734838</v>
      </c>
      <c r="G10" s="69">
        <v>47879</v>
      </c>
      <c r="H10" s="58">
        <v>550.13</v>
      </c>
      <c r="I10" s="9">
        <v>8802</v>
      </c>
      <c r="J10" s="9">
        <f t="shared" si="1"/>
        <v>24</v>
      </c>
      <c r="K10" s="9">
        <f>H10</f>
        <v>550.13</v>
      </c>
      <c r="M10" s="55" t="s">
        <v>67</v>
      </c>
      <c r="N10" s="11">
        <v>77118</v>
      </c>
      <c r="O10" s="11">
        <f t="shared" si="2"/>
        <v>1.5110806309395513</v>
      </c>
      <c r="P10" s="11">
        <f>N10</f>
        <v>77118</v>
      </c>
      <c r="Q10" s="19">
        <f t="shared" si="3"/>
        <v>1.5110806309395513</v>
      </c>
      <c r="R10" s="11"/>
      <c r="T10" s="8" t="s">
        <v>15</v>
      </c>
      <c r="U10" s="8">
        <f>U8*U9</f>
        <v>300</v>
      </c>
    </row>
    <row r="11" spans="1:22" x14ac:dyDescent="0.25">
      <c r="A11" s="52"/>
      <c r="B11" s="62" t="s">
        <v>73</v>
      </c>
      <c r="C11" s="49">
        <v>59077.440000000002</v>
      </c>
      <c r="D11" s="63" t="s">
        <v>79</v>
      </c>
      <c r="E11" s="57">
        <v>26349</v>
      </c>
      <c r="F11" s="10">
        <f t="shared" si="0"/>
        <v>26.905358078105429</v>
      </c>
      <c r="G11" s="69">
        <v>46276</v>
      </c>
      <c r="H11" s="59">
        <v>3160.5</v>
      </c>
      <c r="I11" s="9">
        <v>59077.440000000002</v>
      </c>
      <c r="J11" s="9">
        <f t="shared" si="1"/>
        <v>26.905358078105429</v>
      </c>
      <c r="K11" s="9">
        <v>3160.5</v>
      </c>
      <c r="M11" s="67" t="s">
        <v>87</v>
      </c>
      <c r="N11" s="56">
        <v>147867</v>
      </c>
      <c r="O11" s="11">
        <f t="shared" si="2"/>
        <v>2.8973645537376309</v>
      </c>
      <c r="P11" s="11">
        <f t="shared" si="4"/>
        <v>147867</v>
      </c>
      <c r="Q11" s="19">
        <f t="shared" si="3"/>
        <v>2.8973645537376309</v>
      </c>
      <c r="R11" s="70" t="s">
        <v>91</v>
      </c>
      <c r="T11" s="2" t="s">
        <v>16</v>
      </c>
      <c r="U11" s="4">
        <f>-PMT(U7/U9,U10,U6)</f>
        <v>40174.82610018456</v>
      </c>
    </row>
    <row r="12" spans="1:22" x14ac:dyDescent="0.25">
      <c r="B12" s="51" t="s">
        <v>65</v>
      </c>
      <c r="C12" s="11">
        <f>SUM(C6:C11)</f>
        <v>109337.09</v>
      </c>
      <c r="E12" s="17">
        <f>SUM(E6:E11)</f>
        <v>51035</v>
      </c>
      <c r="H12" s="11">
        <f>SUM(H6:H11)</f>
        <v>5102.83</v>
      </c>
      <c r="I12" s="11">
        <f>SUM(I6:I11)</f>
        <v>108724.70000000001</v>
      </c>
      <c r="K12" s="10">
        <f>SUM(K6:K11)</f>
        <v>5102.83</v>
      </c>
      <c r="M12" s="8" t="s">
        <v>35</v>
      </c>
      <c r="N12" s="11">
        <v>26000</v>
      </c>
      <c r="O12" s="11">
        <f t="shared" si="2"/>
        <v>0.50945429607132364</v>
      </c>
      <c r="P12" s="11">
        <f>N12</f>
        <v>26000</v>
      </c>
      <c r="Q12" s="19">
        <f t="shared" si="3"/>
        <v>0.50945429607132364</v>
      </c>
      <c r="R12" s="11"/>
      <c r="T12" s="8" t="s">
        <v>17</v>
      </c>
      <c r="U12" s="14">
        <f>U10*U11</f>
        <v>12052447.830055367</v>
      </c>
    </row>
    <row r="13" spans="1:22" x14ac:dyDescent="0.25">
      <c r="B13" s="51" t="s">
        <v>66</v>
      </c>
      <c r="C13" s="11">
        <f>C12*12</f>
        <v>1312045.08</v>
      </c>
      <c r="F13" s="11"/>
      <c r="H13" s="11">
        <f>H12*12</f>
        <v>61233.96</v>
      </c>
      <c r="I13" s="11">
        <f>I12*12</f>
        <v>1304696.4000000001</v>
      </c>
      <c r="K13" s="10">
        <f>K12*12</f>
        <v>61233.96</v>
      </c>
      <c r="M13" s="8" t="s">
        <v>22</v>
      </c>
      <c r="N13" s="11">
        <f>36630+18385</f>
        <v>55015</v>
      </c>
      <c r="O13" s="11">
        <f t="shared" si="2"/>
        <v>1.077985696090918</v>
      </c>
      <c r="P13" s="11">
        <v>50000</v>
      </c>
      <c r="Q13" s="19">
        <f t="shared" si="3"/>
        <v>0.97971980013716076</v>
      </c>
      <c r="R13" s="11"/>
      <c r="T13" s="8" t="s">
        <v>18</v>
      </c>
      <c r="U13" s="15">
        <f>U6-U12</f>
        <v>-6102447.8300553672</v>
      </c>
    </row>
    <row r="14" spans="1:22" x14ac:dyDescent="0.25">
      <c r="M14" s="8" t="s">
        <v>30</v>
      </c>
      <c r="N14" s="11">
        <f>B18*0.05</f>
        <v>62322.14130000001</v>
      </c>
      <c r="O14" s="11">
        <f t="shared" si="2"/>
        <v>1.2211647163711181</v>
      </c>
      <c r="P14" s="11">
        <f>I18*0.05</f>
        <v>61973.079000000005</v>
      </c>
      <c r="Q14" s="19">
        <f t="shared" si="3"/>
        <v>1.2143250514352897</v>
      </c>
      <c r="R14" s="11"/>
    </row>
    <row r="15" spans="1:22" x14ac:dyDescent="0.25">
      <c r="M15" s="8" t="s">
        <v>21</v>
      </c>
      <c r="N15" s="11">
        <v>8953</v>
      </c>
      <c r="O15" s="11">
        <f t="shared" si="2"/>
        <v>0.17542862741256002</v>
      </c>
      <c r="P15" s="11">
        <f t="shared" ref="P15:P20" si="5">N15</f>
        <v>8953</v>
      </c>
      <c r="Q15" s="19">
        <f t="shared" si="3"/>
        <v>0.17542862741256002</v>
      </c>
      <c r="R15" s="56"/>
      <c r="T15" s="8" t="s">
        <v>23</v>
      </c>
      <c r="U15" s="16">
        <f>B23/(U11*12)</f>
        <v>1.6167038509779394</v>
      </c>
    </row>
    <row r="16" spans="1:22" x14ac:dyDescent="0.25">
      <c r="A16" s="2" t="s">
        <v>3</v>
      </c>
      <c r="B16" s="5">
        <f>C13</f>
        <v>1312045.08</v>
      </c>
      <c r="I16" s="10">
        <f>I13</f>
        <v>1304696.4000000001</v>
      </c>
      <c r="M16" s="51" t="s">
        <v>64</v>
      </c>
      <c r="N16" s="11">
        <v>0</v>
      </c>
      <c r="O16" s="11">
        <f t="shared" si="2"/>
        <v>0</v>
      </c>
      <c r="P16" s="11">
        <f t="shared" si="5"/>
        <v>0</v>
      </c>
      <c r="Q16" s="19">
        <f t="shared" si="3"/>
        <v>0</v>
      </c>
      <c r="R16" s="11"/>
    </row>
    <row r="17" spans="1:22" x14ac:dyDescent="0.25">
      <c r="A17" s="8" t="s">
        <v>36</v>
      </c>
      <c r="B17" s="11">
        <f>B16*C17</f>
        <v>-65602.254000000001</v>
      </c>
      <c r="C17" s="13">
        <v>-0.05</v>
      </c>
      <c r="E17" s="61"/>
      <c r="I17" s="10">
        <f>I16*J17</f>
        <v>-65234.820000000007</v>
      </c>
      <c r="J17" s="13">
        <v>-0.05</v>
      </c>
      <c r="K17" s="13"/>
      <c r="M17" s="63" t="s">
        <v>81</v>
      </c>
      <c r="N17" s="11">
        <f>2344.64/0.833</f>
        <v>2814.6938775510203</v>
      </c>
      <c r="O17" s="11">
        <f t="shared" si="2"/>
        <v>5.5152226463231514E-2</v>
      </c>
      <c r="P17" s="11">
        <f t="shared" si="5"/>
        <v>2814.6938775510203</v>
      </c>
      <c r="Q17" s="19">
        <f t="shared" si="3"/>
        <v>5.5152226463231514E-2</v>
      </c>
      <c r="R17" s="68" t="s">
        <v>89</v>
      </c>
    </row>
    <row r="18" spans="1:22" x14ac:dyDescent="0.25">
      <c r="A18" s="8" t="s">
        <v>24</v>
      </c>
      <c r="B18" s="11">
        <f>SUM(B16:B17)</f>
        <v>1246442.8260000001</v>
      </c>
      <c r="I18" s="10">
        <f>SUM(I16:I17)</f>
        <v>1239461.58</v>
      </c>
      <c r="M18" s="63" t="s">
        <v>80</v>
      </c>
      <c r="N18" s="11">
        <v>3630</v>
      </c>
      <c r="O18" s="11">
        <f t="shared" si="2"/>
        <v>7.1127657489957877E-2</v>
      </c>
      <c r="P18" s="11">
        <f t="shared" si="5"/>
        <v>3630</v>
      </c>
      <c r="Q18" s="19">
        <f t="shared" si="3"/>
        <v>7.1127657489957877E-2</v>
      </c>
      <c r="R18" s="11"/>
      <c r="T18" s="75" t="s">
        <v>60</v>
      </c>
      <c r="U18" s="75"/>
    </row>
    <row r="19" spans="1:22" x14ac:dyDescent="0.25">
      <c r="A19" s="51" t="s">
        <v>63</v>
      </c>
      <c r="B19" s="11">
        <f>H13</f>
        <v>61233.96</v>
      </c>
      <c r="C19" s="47"/>
      <c r="F19" s="74" t="s">
        <v>93</v>
      </c>
      <c r="I19" s="11">
        <f>K13</f>
        <v>61233.96</v>
      </c>
      <c r="M19" s="63" t="s">
        <v>83</v>
      </c>
      <c r="N19" s="11">
        <v>0</v>
      </c>
      <c r="O19" s="11">
        <f t="shared" si="2"/>
        <v>0</v>
      </c>
      <c r="P19" s="11">
        <f t="shared" si="5"/>
        <v>0</v>
      </c>
      <c r="Q19" s="19">
        <f t="shared" si="3"/>
        <v>0</v>
      </c>
      <c r="R19" s="11"/>
      <c r="T19" s="2" t="s">
        <v>38</v>
      </c>
      <c r="U19" s="3">
        <f>V19*I25</f>
        <v>5950000</v>
      </c>
      <c r="V19" s="12">
        <f>1-J31</f>
        <v>0.7</v>
      </c>
    </row>
    <row r="20" spans="1:22" x14ac:dyDescent="0.25">
      <c r="A20" s="8" t="s">
        <v>25</v>
      </c>
      <c r="B20" s="11">
        <f>SUM(B18:B19)</f>
        <v>1307676.7860000001</v>
      </c>
      <c r="I20" s="10">
        <f>SUM(I18:I19)</f>
        <v>1300695.54</v>
      </c>
      <c r="M20" s="67" t="s">
        <v>88</v>
      </c>
      <c r="N20" s="11">
        <v>49020</v>
      </c>
      <c r="O20" s="11">
        <f t="shared" si="2"/>
        <v>0.96051729205447245</v>
      </c>
      <c r="P20" s="11">
        <f t="shared" si="5"/>
        <v>49020</v>
      </c>
      <c r="Q20" s="19">
        <f t="shared" si="3"/>
        <v>0.96051729205447245</v>
      </c>
      <c r="R20" s="11"/>
      <c r="T20" s="8" t="s">
        <v>12</v>
      </c>
      <c r="U20" s="13">
        <v>6.5000000000000002E-2</v>
      </c>
    </row>
    <row r="21" spans="1:22" x14ac:dyDescent="0.25">
      <c r="B21" s="11"/>
      <c r="D21" s="1" t="s">
        <v>6</v>
      </c>
      <c r="E21" s="1" t="s">
        <v>40</v>
      </c>
      <c r="F21" s="1" t="s">
        <v>84</v>
      </c>
      <c r="M21" s="8" t="s">
        <v>4</v>
      </c>
      <c r="N21" s="11">
        <f>SUM(N6:N20)</f>
        <v>528267.23317755107</v>
      </c>
      <c r="O21" s="11">
        <f t="shared" si="2"/>
        <v>10.351077362154426</v>
      </c>
      <c r="P21" s="11">
        <f>SUM(P6:P20)</f>
        <v>534202.17087755096</v>
      </c>
      <c r="Q21" s="19">
        <f t="shared" si="3"/>
        <v>10.467368881699832</v>
      </c>
      <c r="R21" s="11"/>
      <c r="T21" s="8" t="s">
        <v>13</v>
      </c>
      <c r="U21" s="8">
        <v>25</v>
      </c>
    </row>
    <row r="22" spans="1:22" x14ac:dyDescent="0.25">
      <c r="A22" s="8" t="s">
        <v>4</v>
      </c>
      <c r="B22" s="11">
        <f>N21</f>
        <v>528267.23317755107</v>
      </c>
      <c r="D22" s="65">
        <v>7.4999999999999997E-2</v>
      </c>
      <c r="E22" s="66">
        <f>B23/D22</f>
        <v>10392127.370965987</v>
      </c>
      <c r="F22" s="65">
        <f>I23/E22</f>
        <v>7.3757118418690107E-2</v>
      </c>
      <c r="I22" s="10">
        <f>P21</f>
        <v>534202.17087755096</v>
      </c>
      <c r="N22" s="14"/>
      <c r="O22" s="14"/>
      <c r="P22" s="11"/>
      <c r="Q22" s="11"/>
      <c r="R22" s="11"/>
      <c r="T22" s="8" t="s">
        <v>14</v>
      </c>
      <c r="U22" s="8">
        <v>12</v>
      </c>
    </row>
    <row r="23" spans="1:22" x14ac:dyDescent="0.25">
      <c r="A23" s="2" t="s">
        <v>5</v>
      </c>
      <c r="B23" s="5">
        <f>B20-B22</f>
        <v>779409.55282244901</v>
      </c>
      <c r="D23" s="65">
        <v>0.08</v>
      </c>
      <c r="E23" s="66">
        <f>B23/D23</f>
        <v>9742619.4102806132</v>
      </c>
      <c r="F23" s="65">
        <f>I23/E23</f>
        <v>7.8674259646602782E-2</v>
      </c>
      <c r="I23" s="10">
        <f>I20-I22</f>
        <v>766493.36912244908</v>
      </c>
      <c r="M23" s="8" t="s">
        <v>19</v>
      </c>
      <c r="N23" s="13">
        <f>N21/B18</f>
        <v>0.42381986735230409</v>
      </c>
      <c r="O23" s="13"/>
      <c r="P23" s="13">
        <f>P21/I18</f>
        <v>0.43099534467018408</v>
      </c>
      <c r="Q23" s="13"/>
      <c r="R23" s="13"/>
      <c r="T23" s="8" t="s">
        <v>15</v>
      </c>
      <c r="U23" s="8">
        <f>U21*U22</f>
        <v>300</v>
      </c>
    </row>
    <row r="24" spans="1:22" x14ac:dyDescent="0.25">
      <c r="A24" s="8" t="s">
        <v>6</v>
      </c>
      <c r="B24" s="13">
        <f>B23/B25</f>
        <v>9.1695241508523415E-2</v>
      </c>
      <c r="D24" s="65">
        <v>8.5000000000000006E-2</v>
      </c>
      <c r="E24" s="66">
        <f>B23/D24</f>
        <v>9169524.1508523412</v>
      </c>
      <c r="F24" s="65">
        <f>I23/E24</f>
        <v>8.359140087451547E-2</v>
      </c>
      <c r="I24" s="13">
        <f>I23/I25</f>
        <v>9.0175690484994006E-2</v>
      </c>
      <c r="M24" s="53" t="s">
        <v>29</v>
      </c>
      <c r="N24" s="11">
        <f>N21/B3</f>
        <v>10.351077362154426</v>
      </c>
      <c r="O24" s="11"/>
      <c r="P24" s="11">
        <f>P21/B3</f>
        <v>10.467368881699832</v>
      </c>
      <c r="Q24" s="11"/>
      <c r="R24" s="11"/>
      <c r="T24" s="2" t="s">
        <v>16</v>
      </c>
      <c r="U24" s="4">
        <f>-PMT(U20/U22,U23,U19)</f>
        <v>40174.82610018456</v>
      </c>
    </row>
    <row r="25" spans="1:22" x14ac:dyDescent="0.25">
      <c r="A25" s="2" t="s">
        <v>7</v>
      </c>
      <c r="B25" s="5">
        <v>8500000</v>
      </c>
      <c r="D25" s="65">
        <v>0.09</v>
      </c>
      <c r="E25" s="66">
        <f>B23/D25</f>
        <v>8660106.1424716562</v>
      </c>
      <c r="F25" s="65">
        <f>I23/E25</f>
        <v>8.8508542102428131E-2</v>
      </c>
      <c r="I25" s="5">
        <f>B25</f>
        <v>8500000</v>
      </c>
      <c r="T25" s="8" t="s">
        <v>17</v>
      </c>
      <c r="U25" s="14">
        <f>U23*U24</f>
        <v>12052447.830055367</v>
      </c>
    </row>
    <row r="26" spans="1:22" x14ac:dyDescent="0.25">
      <c r="A26" s="8" t="s">
        <v>29</v>
      </c>
      <c r="B26" s="11">
        <f>B25/B3</f>
        <v>166.55236602331732</v>
      </c>
      <c r="D26" s="65">
        <v>9.5000000000000001E-2</v>
      </c>
      <c r="E26" s="66">
        <f>B23/D26</f>
        <v>8204311.0823415685</v>
      </c>
      <c r="F26" s="65">
        <f>I23/E26</f>
        <v>9.342568333034082E-2</v>
      </c>
      <c r="I26" s="11">
        <f>I25/E12</f>
        <v>166.55236602331732</v>
      </c>
      <c r="T26" s="60" t="s">
        <v>18</v>
      </c>
      <c r="U26" s="14">
        <f>U19-U25</f>
        <v>-6102447.8300553672</v>
      </c>
    </row>
    <row r="27" spans="1:22" x14ac:dyDescent="0.25">
      <c r="B27" s="14"/>
      <c r="D27" s="65">
        <v>0.1</v>
      </c>
      <c r="E27" s="10">
        <f>B23/D27</f>
        <v>7794095.5282244897</v>
      </c>
      <c r="F27" s="65">
        <f>I23/E27</f>
        <v>9.8342824558253494E-2</v>
      </c>
      <c r="U27" s="14"/>
    </row>
    <row r="28" spans="1:22" x14ac:dyDescent="0.25">
      <c r="A28" s="8" t="s">
        <v>8</v>
      </c>
      <c r="B28" s="11">
        <f>U11*12</f>
        <v>482097.91320221475</v>
      </c>
      <c r="I28" s="11">
        <f>U24*12</f>
        <v>482097.91320221475</v>
      </c>
      <c r="M28" s="6"/>
      <c r="T28" s="8" t="s">
        <v>23</v>
      </c>
      <c r="U28" s="16">
        <f>I23/(U24*12)</f>
        <v>1.5899122317937628</v>
      </c>
    </row>
    <row r="29" spans="1:22" x14ac:dyDescent="0.25">
      <c r="A29" s="2" t="s">
        <v>9</v>
      </c>
      <c r="B29" s="5">
        <f>B23-B28</f>
        <v>297311.63962023426</v>
      </c>
      <c r="I29" s="11">
        <f>I23-I28</f>
        <v>284395.45592023432</v>
      </c>
      <c r="J29" s="10"/>
      <c r="K29" s="10"/>
      <c r="M29" s="6"/>
    </row>
    <row r="30" spans="1:22" x14ac:dyDescent="0.25">
      <c r="A30" s="8" t="s">
        <v>10</v>
      </c>
      <c r="B30" s="13">
        <f>B29/B31</f>
        <v>0.11659279985107225</v>
      </c>
      <c r="I30" s="13">
        <f>I29/I31</f>
        <v>0.11152762977264091</v>
      </c>
    </row>
    <row r="31" spans="1:22" x14ac:dyDescent="0.25">
      <c r="A31" s="2" t="s">
        <v>37</v>
      </c>
      <c r="B31" s="5">
        <f>B25*C31</f>
        <v>2550000</v>
      </c>
      <c r="C31" s="13">
        <v>0.3</v>
      </c>
      <c r="I31" s="10">
        <f>I25*J31</f>
        <v>2550000</v>
      </c>
      <c r="J31" s="13">
        <v>0.3</v>
      </c>
      <c r="K31" s="13"/>
      <c r="N31" s="11">
        <v>5566300</v>
      </c>
      <c r="P31" s="10">
        <f>I25*0.7</f>
        <v>5950000</v>
      </c>
      <c r="Q31" s="10"/>
    </row>
    <row r="32" spans="1:22" x14ac:dyDescent="0.25">
      <c r="N32" s="10">
        <f>N31/1000</f>
        <v>5566.3</v>
      </c>
      <c r="P32" s="10">
        <f>P31/1000</f>
        <v>5950</v>
      </c>
      <c r="Q32" s="10"/>
    </row>
    <row r="33" spans="5:17" x14ac:dyDescent="0.25">
      <c r="N33" s="10">
        <f>N32*13.46</f>
        <v>74922.398000000001</v>
      </c>
      <c r="P33" s="10">
        <f>P32*13.46</f>
        <v>80087</v>
      </c>
    </row>
    <row r="38" spans="5:17" x14ac:dyDescent="0.25">
      <c r="E38" s="11"/>
      <c r="F38" s="11"/>
      <c r="G38" s="11"/>
    </row>
    <row r="39" spans="5:17" x14ac:dyDescent="0.25">
      <c r="E39" s="11"/>
      <c r="F39" s="11"/>
      <c r="G39" s="11"/>
    </row>
    <row r="40" spans="5:17" x14ac:dyDescent="0.25">
      <c r="E40" s="11"/>
      <c r="F40" s="11"/>
      <c r="G40" s="11"/>
    </row>
    <row r="41" spans="5:17" x14ac:dyDescent="0.25">
      <c r="E41" s="11"/>
      <c r="F41" s="11"/>
      <c r="G41" s="11"/>
      <c r="M41" s="18"/>
      <c r="N41" s="18"/>
      <c r="O41" s="18"/>
      <c r="P41" s="18"/>
      <c r="Q41" s="18"/>
    </row>
    <row r="42" spans="5:17" x14ac:dyDescent="0.25">
      <c r="E42" s="11"/>
      <c r="F42" s="11"/>
      <c r="G42" s="11"/>
      <c r="M42" s="18"/>
      <c r="N42" s="18"/>
      <c r="O42" s="18"/>
      <c r="P42" s="18"/>
      <c r="Q42" s="18"/>
    </row>
    <row r="43" spans="5:17" x14ac:dyDescent="0.25">
      <c r="E43" s="11"/>
      <c r="F43" s="11"/>
      <c r="G43" s="11"/>
      <c r="M43" s="18"/>
      <c r="N43" s="18"/>
      <c r="O43" s="18"/>
      <c r="P43" s="18"/>
      <c r="Q43" s="18"/>
    </row>
    <row r="44" spans="5:17" x14ac:dyDescent="0.25">
      <c r="E44" s="11"/>
      <c r="F44" s="11"/>
      <c r="G44" s="11"/>
      <c r="M44" s="18"/>
      <c r="N44" s="18"/>
      <c r="O44" s="18"/>
      <c r="P44" s="18"/>
      <c r="Q44" s="18"/>
    </row>
    <row r="45" spans="5:17" x14ac:dyDescent="0.25">
      <c r="M45" s="18"/>
    </row>
    <row r="46" spans="5:17" x14ac:dyDescent="0.25">
      <c r="M46" s="18"/>
    </row>
    <row r="47" spans="5:17" x14ac:dyDescent="0.25">
      <c r="M47" s="18"/>
    </row>
  </sheetData>
  <mergeCells count="2">
    <mergeCell ref="T5:U5"/>
    <mergeCell ref="T18:U18"/>
  </mergeCells>
  <phoneticPr fontId="19" type="noConversion"/>
  <conditionalFormatting sqref="M28:M29">
    <cfRule type="colorScale" priority="2">
      <colorScale>
        <cfvo type="min"/>
        <cfvo type="max"/>
        <color rgb="FF008000"/>
        <color theme="0"/>
      </colorScale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38DC-DB35-4E74-8CF3-E845AE055E49}">
  <dimension ref="B3:F26"/>
  <sheetViews>
    <sheetView workbookViewId="0">
      <selection activeCell="J5" sqref="J5"/>
    </sheetView>
  </sheetViews>
  <sheetFormatPr defaultRowHeight="15.75" x14ac:dyDescent="0.25"/>
  <cols>
    <col min="3" max="3" width="20" bestFit="1" customWidth="1"/>
    <col min="5" max="6" width="11.625" bestFit="1" customWidth="1"/>
  </cols>
  <sheetData>
    <row r="3" spans="2:6" ht="16.5" thickBot="1" x14ac:dyDescent="0.3">
      <c r="B3" s="20"/>
      <c r="C3" s="20"/>
      <c r="D3" s="20"/>
      <c r="E3" s="21" t="s">
        <v>34</v>
      </c>
      <c r="F3" s="21" t="s">
        <v>27</v>
      </c>
    </row>
    <row r="4" spans="2:6" x14ac:dyDescent="0.25">
      <c r="B4" s="76" t="s">
        <v>39</v>
      </c>
      <c r="C4" s="22" t="s">
        <v>40</v>
      </c>
      <c r="D4" s="22"/>
      <c r="E4" s="23">
        <f>Current!B25</f>
        <v>8500000</v>
      </c>
      <c r="F4" s="24">
        <f>E4</f>
        <v>8500000</v>
      </c>
    </row>
    <row r="5" spans="2:6" x14ac:dyDescent="0.25">
      <c r="B5" s="77"/>
      <c r="C5" s="71" t="s">
        <v>92</v>
      </c>
      <c r="D5" s="25"/>
      <c r="E5" s="72">
        <f>E4/51035</f>
        <v>166.55236602331732</v>
      </c>
      <c r="F5" s="73">
        <f>E5</f>
        <v>166.55236602331732</v>
      </c>
    </row>
    <row r="6" spans="2:6" x14ac:dyDescent="0.25">
      <c r="B6" s="77"/>
      <c r="C6" s="25" t="s">
        <v>41</v>
      </c>
      <c r="D6" s="25"/>
      <c r="E6" s="26">
        <f>E4/E11</f>
        <v>6.4784359391066042</v>
      </c>
      <c r="F6" s="27">
        <f>F4/F11</f>
        <v>6.5149256179445265</v>
      </c>
    </row>
    <row r="7" spans="2:6" x14ac:dyDescent="0.25">
      <c r="B7" s="77"/>
      <c r="C7" s="25" t="s">
        <v>42</v>
      </c>
      <c r="D7" s="25"/>
      <c r="E7" s="28">
        <f>E17/E4</f>
        <v>9.1695241508523415E-2</v>
      </c>
      <c r="F7" s="29">
        <f>F17/F4</f>
        <v>9.0175690484994006E-2</v>
      </c>
    </row>
    <row r="8" spans="2:6" x14ac:dyDescent="0.25">
      <c r="B8" s="77"/>
      <c r="C8" s="25" t="s">
        <v>43</v>
      </c>
      <c r="D8" s="25"/>
      <c r="E8" s="30">
        <f>E23/E19</f>
        <v>0.11659279985107225</v>
      </c>
      <c r="F8" s="29">
        <f>F23/F19</f>
        <v>0.11152762977264091</v>
      </c>
    </row>
    <row r="9" spans="2:6" ht="16.5" thickBot="1" x14ac:dyDescent="0.3">
      <c r="B9" s="78"/>
      <c r="C9" s="31" t="s">
        <v>44</v>
      </c>
      <c r="D9" s="20"/>
      <c r="E9" s="32">
        <f>E17/E21</f>
        <v>1.6167038509779394</v>
      </c>
      <c r="F9" s="33">
        <f>F17/F21</f>
        <v>1.5899122317937628</v>
      </c>
    </row>
    <row r="10" spans="2:6" ht="16.5" thickBot="1" x14ac:dyDescent="0.3">
      <c r="E10" s="34"/>
      <c r="F10" s="25"/>
    </row>
    <row r="11" spans="2:6" x14ac:dyDescent="0.25">
      <c r="B11" s="76" t="s">
        <v>45</v>
      </c>
      <c r="C11" s="22" t="s">
        <v>46</v>
      </c>
      <c r="D11" s="35"/>
      <c r="E11" s="36">
        <f>Current!B16</f>
        <v>1312045.08</v>
      </c>
      <c r="F11" s="24">
        <f>Current!I16</f>
        <v>1304696.4000000001</v>
      </c>
    </row>
    <row r="12" spans="2:6" x14ac:dyDescent="0.25">
      <c r="B12" s="77"/>
      <c r="C12" s="25" t="s">
        <v>47</v>
      </c>
      <c r="D12" s="25"/>
      <c r="E12" s="50">
        <f>SUM(Current!B19:B19)</f>
        <v>61233.96</v>
      </c>
      <c r="F12" s="38">
        <f>SUM(Current!I19:I19)</f>
        <v>61233.96</v>
      </c>
    </row>
    <row r="13" spans="2:6" x14ac:dyDescent="0.25">
      <c r="B13" s="77"/>
      <c r="C13" s="25" t="s">
        <v>48</v>
      </c>
      <c r="D13" s="25"/>
      <c r="E13" s="37">
        <f>E11+E12</f>
        <v>1373279.04</v>
      </c>
      <c r="F13" s="38">
        <f>F11+F12</f>
        <v>1365930.36</v>
      </c>
    </row>
    <row r="14" spans="2:6" x14ac:dyDescent="0.25">
      <c r="B14" s="77"/>
      <c r="C14" s="25" t="s">
        <v>49</v>
      </c>
      <c r="D14" s="25"/>
      <c r="E14" s="37">
        <f>-E11*0.05</f>
        <v>-65602.254000000001</v>
      </c>
      <c r="F14" s="38">
        <f>-F11*0.05</f>
        <v>-65234.820000000007</v>
      </c>
    </row>
    <row r="15" spans="2:6" x14ac:dyDescent="0.25">
      <c r="B15" s="77"/>
      <c r="C15" s="25" t="s">
        <v>50</v>
      </c>
      <c r="D15" s="25"/>
      <c r="E15" s="37">
        <f>E13+E14</f>
        <v>1307676.7860000001</v>
      </c>
      <c r="F15" s="38">
        <f>F13+F14</f>
        <v>1300695.54</v>
      </c>
    </row>
    <row r="16" spans="2:6" x14ac:dyDescent="0.25">
      <c r="B16" s="77"/>
      <c r="C16" s="25" t="s">
        <v>51</v>
      </c>
      <c r="D16" s="25"/>
      <c r="E16" s="37">
        <f>-Current!N21</f>
        <v>-528267.23317755107</v>
      </c>
      <c r="F16" s="38">
        <f>-Current!P21</f>
        <v>-534202.17087755096</v>
      </c>
    </row>
    <row r="17" spans="2:6" ht="16.5" thickBot="1" x14ac:dyDescent="0.3">
      <c r="B17" s="78"/>
      <c r="C17" s="31" t="s">
        <v>52</v>
      </c>
      <c r="D17" s="20"/>
      <c r="E17" s="39">
        <f>E15+E16</f>
        <v>779409.55282244901</v>
      </c>
      <c r="F17" s="40">
        <f>F15+F16</f>
        <v>766493.36912244908</v>
      </c>
    </row>
    <row r="18" spans="2:6" ht="16.5" thickBot="1" x14ac:dyDescent="0.3">
      <c r="C18" s="25"/>
      <c r="E18" s="34"/>
      <c r="F18" s="25"/>
    </row>
    <row r="19" spans="2:6" x14ac:dyDescent="0.25">
      <c r="B19" s="79" t="s">
        <v>53</v>
      </c>
      <c r="C19" s="22" t="s">
        <v>54</v>
      </c>
      <c r="D19" s="22"/>
      <c r="E19" s="23">
        <f>Current!B31</f>
        <v>2550000</v>
      </c>
      <c r="F19" s="24">
        <f>Current!I31</f>
        <v>2550000</v>
      </c>
    </row>
    <row r="20" spans="2:6" x14ac:dyDescent="0.25">
      <c r="B20" s="80"/>
      <c r="C20" s="25" t="s">
        <v>38</v>
      </c>
      <c r="D20" s="25"/>
      <c r="E20" s="41">
        <f>Current!U6</f>
        <v>5950000</v>
      </c>
      <c r="F20" s="42">
        <f>E20</f>
        <v>5950000</v>
      </c>
    </row>
    <row r="21" spans="2:6" x14ac:dyDescent="0.25">
      <c r="B21" s="80"/>
      <c r="C21" s="25" t="s">
        <v>55</v>
      </c>
      <c r="D21" s="25"/>
      <c r="E21" s="41">
        <f>Current!B28</f>
        <v>482097.91320221475</v>
      </c>
      <c r="F21" s="38">
        <f>F22*12</f>
        <v>482097.91320221475</v>
      </c>
    </row>
    <row r="22" spans="2:6" x14ac:dyDescent="0.25">
      <c r="B22" s="80"/>
      <c r="C22" s="25" t="s">
        <v>56</v>
      </c>
      <c r="D22" s="25"/>
      <c r="E22" s="43">
        <f>Current!U11</f>
        <v>40174.82610018456</v>
      </c>
      <c r="F22" s="38">
        <f>E22</f>
        <v>40174.82610018456</v>
      </c>
    </row>
    <row r="23" spans="2:6" ht="16.5" thickBot="1" x14ac:dyDescent="0.3">
      <c r="B23" s="81"/>
      <c r="C23" s="31" t="s">
        <v>57</v>
      </c>
      <c r="D23" s="31"/>
      <c r="E23" s="44">
        <f>E17-E21</f>
        <v>297311.63962023426</v>
      </c>
      <c r="F23" s="45">
        <f>F17-F21</f>
        <v>284395.45592023432</v>
      </c>
    </row>
    <row r="24" spans="2:6" x14ac:dyDescent="0.25">
      <c r="B24" s="25"/>
      <c r="C24" s="25"/>
      <c r="D24" s="25"/>
      <c r="E24" s="46"/>
    </row>
    <row r="25" spans="2:6" x14ac:dyDescent="0.25">
      <c r="B25" s="82" t="s">
        <v>58</v>
      </c>
      <c r="C25" s="82"/>
      <c r="D25" s="82"/>
      <c r="E25" s="82"/>
    </row>
    <row r="26" spans="2:6" x14ac:dyDescent="0.25">
      <c r="B26" s="82"/>
      <c r="C26" s="82"/>
      <c r="D26" s="82"/>
      <c r="E26" s="82"/>
    </row>
  </sheetData>
  <mergeCells count="4">
    <mergeCell ref="B4:B9"/>
    <mergeCell ref="B11:B17"/>
    <mergeCell ref="B19:B23"/>
    <mergeCell ref="B25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</vt:lpstr>
      <vt:lpstr>Financial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McGeary</dc:creator>
  <cp:lastModifiedBy>Tom Egbers</cp:lastModifiedBy>
  <cp:lastPrinted>2023-06-06T18:09:36Z</cp:lastPrinted>
  <dcterms:created xsi:type="dcterms:W3CDTF">2017-07-10T01:49:03Z</dcterms:created>
  <dcterms:modified xsi:type="dcterms:W3CDTF">2026-06-30T16:58:46Z</dcterms:modified>
</cp:coreProperties>
</file>