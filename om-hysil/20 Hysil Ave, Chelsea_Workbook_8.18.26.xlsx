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ameronFormica\Dropbox (NPCG)\Downloads\"/>
    </mc:Choice>
  </mc:AlternateContent>
  <xr:revisionPtr revIDLastSave="0" documentId="8_{2BE15714-49DB-428A-B4FD-3AAB5975661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urrent" sheetId="1" r:id="rId1"/>
    <sheet name="Financial 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N13" i="1"/>
  <c r="N6" i="1"/>
  <c r="L27" i="1"/>
  <c r="L17" i="1"/>
  <c r="M15" i="1"/>
  <c r="N15" i="1"/>
  <c r="O15" i="1" s="1"/>
  <c r="L8" i="1"/>
  <c r="D3" i="1"/>
  <c r="H30" i="1"/>
  <c r="I10" i="1" l="1"/>
  <c r="I12" i="1"/>
  <c r="I15" i="1"/>
  <c r="F16" i="1"/>
  <c r="F17" i="1"/>
  <c r="F18" i="1"/>
  <c r="L29" i="1"/>
  <c r="M7" i="1"/>
  <c r="M8" i="1"/>
  <c r="M9" i="1"/>
  <c r="M10" i="1"/>
  <c r="M12" i="1"/>
  <c r="M14" i="1"/>
  <c r="M16" i="1"/>
  <c r="M17" i="1"/>
  <c r="C22" i="1"/>
  <c r="C23" i="1" s="1"/>
  <c r="I7" i="1"/>
  <c r="I8" i="1"/>
  <c r="I9" i="1"/>
  <c r="I11" i="1"/>
  <c r="I13" i="1"/>
  <c r="I14" i="1"/>
  <c r="I16" i="1"/>
  <c r="I18" i="1"/>
  <c r="I19" i="1"/>
  <c r="I20" i="1"/>
  <c r="I21" i="1"/>
  <c r="F7" i="1"/>
  <c r="F8" i="1"/>
  <c r="F9" i="1"/>
  <c r="F11" i="1"/>
  <c r="F13" i="1"/>
  <c r="F14" i="1"/>
  <c r="F15" i="1"/>
  <c r="F19" i="1"/>
  <c r="F20" i="1"/>
  <c r="F21" i="1"/>
  <c r="L28" i="1"/>
  <c r="L11" i="1"/>
  <c r="M11" i="1" s="1"/>
  <c r="O7" i="1"/>
  <c r="N14" i="1"/>
  <c r="O14" i="1" s="1"/>
  <c r="N17" i="1"/>
  <c r="O17" i="1" s="1"/>
  <c r="E21" i="3"/>
  <c r="F21" i="3" s="1"/>
  <c r="H29" i="1"/>
  <c r="I17" i="1" l="1"/>
  <c r="F12" i="1"/>
  <c r="F10" i="1"/>
  <c r="E22" i="1"/>
  <c r="E12" i="3"/>
  <c r="F12" i="3"/>
  <c r="M6" i="1" l="1"/>
  <c r="T19" i="1"/>
  <c r="S23" i="1" l="1"/>
  <c r="N11" i="1" l="1"/>
  <c r="O11" i="1" s="1"/>
  <c r="B26" i="1" l="1"/>
  <c r="F6" i="1"/>
  <c r="T6" i="1"/>
  <c r="N12" i="1"/>
  <c r="O12" i="1" s="1"/>
  <c r="N16" i="1"/>
  <c r="O16" i="1" s="1"/>
  <c r="I6" i="1"/>
  <c r="N9" i="1"/>
  <c r="O9" i="1" s="1"/>
  <c r="H22" i="1"/>
  <c r="H23" i="1" s="1"/>
  <c r="N8" i="1"/>
  <c r="O8" i="1" s="1"/>
  <c r="N10" i="1"/>
  <c r="O10" i="1" s="1"/>
  <c r="S10" i="1"/>
  <c r="H26" i="1" l="1"/>
  <c r="E11" i="3"/>
  <c r="H27" i="1" l="1"/>
  <c r="F11" i="3"/>
  <c r="B27" i="1"/>
  <c r="B28" i="1" l="1"/>
  <c r="L13" i="1" s="1"/>
  <c r="E14" i="3"/>
  <c r="H28" i="1"/>
  <c r="F14" i="3"/>
  <c r="E13" i="3"/>
  <c r="F13" i="3"/>
  <c r="M13" i="1" l="1"/>
  <c r="H31" i="1"/>
  <c r="O13" i="1"/>
  <c r="B31" i="1"/>
  <c r="E15" i="3"/>
  <c r="F15" i="3"/>
  <c r="L18" i="1" l="1"/>
  <c r="M18" i="1" s="1"/>
  <c r="L21" i="1" l="1"/>
  <c r="L20" i="1"/>
  <c r="B33" i="1"/>
  <c r="B34" i="1" s="1"/>
  <c r="B35" i="1" s="1"/>
  <c r="E16" i="3"/>
  <c r="E17" i="3" s="1"/>
  <c r="E36" i="1" l="1"/>
  <c r="F36" i="1" s="1"/>
  <c r="E40" i="1"/>
  <c r="F40" i="1" s="1"/>
  <c r="E39" i="1"/>
  <c r="F39" i="1" s="1"/>
  <c r="E37" i="1"/>
  <c r="F37" i="1" s="1"/>
  <c r="E38" i="1"/>
  <c r="F38" i="1" s="1"/>
  <c r="H36" i="1"/>
  <c r="N27" i="1" s="1"/>
  <c r="B43" i="1"/>
  <c r="E19" i="3" s="1"/>
  <c r="B38" i="1"/>
  <c r="E4" i="3"/>
  <c r="E7" i="3" s="1"/>
  <c r="S6" i="1"/>
  <c r="B37" i="1"/>
  <c r="E20" i="3" l="1"/>
  <c r="F20" i="3" s="1"/>
  <c r="S11" i="1"/>
  <c r="E6" i="3"/>
  <c r="E5" i="3"/>
  <c r="F5" i="3" s="1"/>
  <c r="F4" i="3"/>
  <c r="B40" i="1" l="1"/>
  <c r="E22" i="3" s="1"/>
  <c r="S15" i="1"/>
  <c r="E23" i="3"/>
  <c r="F23" i="3" s="1"/>
  <c r="F22" i="3" s="1"/>
  <c r="S12" i="1"/>
  <c r="S13" i="1" s="1"/>
  <c r="F6" i="3"/>
  <c r="B41" i="1" l="1"/>
  <c r="B42" i="1" s="1"/>
  <c r="E24" i="3" l="1"/>
  <c r="E8" i="3" s="1"/>
  <c r="E9" i="3"/>
  <c r="N28" i="1" l="1"/>
  <c r="N29" i="1" s="1"/>
  <c r="H37" i="1"/>
  <c r="H38" i="1"/>
  <c r="S19" i="1"/>
  <c r="H43" i="1"/>
  <c r="F19" i="3" s="1"/>
  <c r="S24" i="1" l="1"/>
  <c r="O6" i="1" l="1"/>
  <c r="S25" i="1"/>
  <c r="S26" i="1" s="1"/>
  <c r="H40" i="1"/>
  <c r="N18" i="1" l="1"/>
  <c r="O18" i="1" s="1"/>
  <c r="F16" i="3" l="1"/>
  <c r="F17" i="3" s="1"/>
  <c r="F9" i="3" s="1"/>
  <c r="H33" i="1"/>
  <c r="H34" i="1" s="1"/>
  <c r="N21" i="1"/>
  <c r="N20" i="1"/>
  <c r="H35" i="1" l="1"/>
  <c r="G40" i="1"/>
  <c r="G39" i="1"/>
  <c r="G38" i="1"/>
  <c r="G37" i="1"/>
  <c r="G36" i="1"/>
  <c r="H41" i="1"/>
  <c r="H42" i="1" s="1"/>
  <c r="F24" i="3"/>
  <c r="F8" i="3" s="1"/>
  <c r="F7" i="3"/>
  <c r="S28" i="1"/>
</calcChain>
</file>

<file path=xl/sharedStrings.xml><?xml version="1.0" encoding="utf-8"?>
<sst xmlns="http://schemas.openxmlformats.org/spreadsheetml/2006/main" count="141" uniqueCount="105">
  <si>
    <t>Unit</t>
  </si>
  <si>
    <t>Income</t>
  </si>
  <si>
    <t>Bed Type</t>
  </si>
  <si>
    <t xml:space="preserve">Monthly </t>
  </si>
  <si>
    <t>Yearly</t>
  </si>
  <si>
    <t>Insurance</t>
  </si>
  <si>
    <t>Gas</t>
  </si>
  <si>
    <t>GOI</t>
  </si>
  <si>
    <t>Total Expenses:</t>
  </si>
  <si>
    <t>NOI</t>
  </si>
  <si>
    <t>Cap Rate</t>
  </si>
  <si>
    <t>List Price</t>
  </si>
  <si>
    <t>Per Unit</t>
  </si>
  <si>
    <t>Mortgage</t>
  </si>
  <si>
    <t>Cash Flow</t>
  </si>
  <si>
    <t>Cash on Cash</t>
  </si>
  <si>
    <t>Mortgage Calculator</t>
  </si>
  <si>
    <t>Annual Interest Rate</t>
  </si>
  <si>
    <t>Life Loan (in years)</t>
  </si>
  <si>
    <t>Number of Payments per year</t>
  </si>
  <si>
    <t>Total Number of Payments</t>
  </si>
  <si>
    <t>Payment per Period</t>
  </si>
  <si>
    <t>Sum of Payments</t>
  </si>
  <si>
    <t>Interest Cost</t>
  </si>
  <si>
    <t>Expense Ratio</t>
  </si>
  <si>
    <t>Snow &amp; Landscape</t>
  </si>
  <si>
    <t>DCR</t>
  </si>
  <si>
    <t>Gross Effective</t>
  </si>
  <si>
    <t>Notes</t>
  </si>
  <si>
    <t>Pro Forma</t>
  </si>
  <si>
    <t>SF</t>
  </si>
  <si>
    <t>Per SF</t>
  </si>
  <si>
    <t>Address:</t>
  </si>
  <si>
    <t>Unit Count:</t>
  </si>
  <si>
    <t>Expenses</t>
  </si>
  <si>
    <t>Current</t>
  </si>
  <si>
    <t>Laundry</t>
  </si>
  <si>
    <t>Repairs &amp; Maintenance</t>
  </si>
  <si>
    <t>Vacancy</t>
  </si>
  <si>
    <t>$ down</t>
  </si>
  <si>
    <t>Loan Amount</t>
  </si>
  <si>
    <t>Income Summary</t>
  </si>
  <si>
    <t>Price</t>
  </si>
  <si>
    <t>GRM</t>
  </si>
  <si>
    <t>CAP Rate</t>
  </si>
  <si>
    <t>Cash-on-Cash Return</t>
  </si>
  <si>
    <t>Debt Coverage Ratio</t>
  </si>
  <si>
    <t>Operating Data</t>
  </si>
  <si>
    <t>Gross Scheduled Income</t>
  </si>
  <si>
    <t>Other Income</t>
  </si>
  <si>
    <t>Total Scheduled Income</t>
  </si>
  <si>
    <t>Vacancy Cost</t>
  </si>
  <si>
    <t>Gross Income</t>
  </si>
  <si>
    <t>Operating Expenses</t>
  </si>
  <si>
    <t>Net Operating Income</t>
  </si>
  <si>
    <t>Financing Data</t>
  </si>
  <si>
    <t>Down Payment</t>
  </si>
  <si>
    <t>Debt Service</t>
  </si>
  <si>
    <t>Debt Service Monthly</t>
  </si>
  <si>
    <t>Pre-Tax Cash Flow</t>
  </si>
  <si>
    <t>** Loan information is for illustrative purposes and is subject to change. Please conduct your own independent review</t>
  </si>
  <si>
    <t>Price/Unit</t>
  </si>
  <si>
    <t>Rentable SF:</t>
  </si>
  <si>
    <t>Pro- Forma / Refi Mortgage Calculator</t>
  </si>
  <si>
    <t>Water &amp; Sewer</t>
  </si>
  <si>
    <t>Electric</t>
  </si>
  <si>
    <t>tenant paid</t>
  </si>
  <si>
    <t>Interest Rate (Estimate)</t>
  </si>
  <si>
    <t>Cleaning / Pest Control</t>
  </si>
  <si>
    <t>1</t>
  </si>
  <si>
    <t>2</t>
  </si>
  <si>
    <t>3</t>
  </si>
  <si>
    <t>4</t>
  </si>
  <si>
    <t>5</t>
  </si>
  <si>
    <t>6</t>
  </si>
  <si>
    <t>7</t>
  </si>
  <si>
    <t>8</t>
  </si>
  <si>
    <t>assessed</t>
  </si>
  <si>
    <t>reassessed</t>
  </si>
  <si>
    <t>GOI (vacancy)</t>
  </si>
  <si>
    <t>2 Bed</t>
  </si>
  <si>
    <t>9</t>
  </si>
  <si>
    <t>10</t>
  </si>
  <si>
    <t>11</t>
  </si>
  <si>
    <t>12</t>
  </si>
  <si>
    <t>14</t>
  </si>
  <si>
    <t>15</t>
  </si>
  <si>
    <t>16</t>
  </si>
  <si>
    <t>1 Bed</t>
  </si>
  <si>
    <t>20 Hysil Ave, Chelsea</t>
  </si>
  <si>
    <t>Cell Tower</t>
  </si>
  <si>
    <t>coin-op</t>
  </si>
  <si>
    <t>3 Bed</t>
  </si>
  <si>
    <t>17</t>
  </si>
  <si>
    <t>high</t>
  </si>
  <si>
    <t>Internet / Security</t>
  </si>
  <si>
    <t>Fire Alarm</t>
  </si>
  <si>
    <t>paid $4.21mil in 2022</t>
  </si>
  <si>
    <t>Pro Forma Cap Rate</t>
  </si>
  <si>
    <t>Price Per Unit</t>
  </si>
  <si>
    <t>Management Fees (4%)</t>
  </si>
  <si>
    <t>NONE</t>
  </si>
  <si>
    <t>Trash Removal (Estimated)</t>
  </si>
  <si>
    <t>VACANT-Unrented</t>
  </si>
  <si>
    <t>Taxes (7&amp;20)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</si>
</sst>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27" x14ac:knownFonts="1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4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2" fillId="0" borderId="0" applyFont="0" applyFill="0" applyBorder="0" applyAlignment="0" applyProtection="0"/>
  </cellStyleXfs>
  <cellXfs count="107">
    <xf numFmtId="0" fontId="0" fillId="0" borderId="0" xfId="0"/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0" fontId="23" fillId="0" borderId="0" xfId="0" applyFont="1"/>
    <xf numFmtId="164" fontId="23" fillId="0" borderId="0" xfId="0" applyNumberFormat="1" applyFont="1"/>
    <xf numFmtId="8" fontId="23" fillId="0" borderId="0" xfId="0" applyNumberFormat="1" applyFont="1"/>
    <xf numFmtId="44" fontId="23" fillId="0" borderId="0" xfId="1" applyFont="1"/>
    <xf numFmtId="44" fontId="23" fillId="0" borderId="1" xfId="1" applyFont="1" applyBorder="1" applyAlignment="1">
      <alignment horizontal="center"/>
    </xf>
    <xf numFmtId="0" fontId="20" fillId="0" borderId="0" xfId="0" applyFont="1"/>
    <xf numFmtId="44" fontId="20" fillId="0" borderId="0" xfId="1" applyFont="1" applyBorder="1"/>
    <xf numFmtId="44" fontId="20" fillId="0" borderId="0" xfId="0" applyNumberFormat="1" applyFont="1"/>
    <xf numFmtId="44" fontId="20" fillId="0" borderId="0" xfId="1" applyFont="1"/>
    <xf numFmtId="10" fontId="20" fillId="0" borderId="0" xfId="0" applyNumberFormat="1" applyFont="1"/>
    <xf numFmtId="10" fontId="20" fillId="0" borderId="0" xfId="2" applyNumberFormat="1" applyFont="1"/>
    <xf numFmtId="164" fontId="20" fillId="0" borderId="0" xfId="1" applyNumberFormat="1" applyFont="1"/>
    <xf numFmtId="164" fontId="20" fillId="0" borderId="0" xfId="0" applyNumberFormat="1" applyFont="1"/>
    <xf numFmtId="2" fontId="20" fillId="0" borderId="0" xfId="0" applyNumberFormat="1" applyFont="1"/>
    <xf numFmtId="165" fontId="20" fillId="0" borderId="0" xfId="6" applyNumberFormat="1" applyFont="1"/>
    <xf numFmtId="0" fontId="19" fillId="0" borderId="0" xfId="0" applyFont="1"/>
    <xf numFmtId="0" fontId="18" fillId="0" borderId="0" xfId="0" applyFont="1"/>
    <xf numFmtId="44" fontId="20" fillId="0" borderId="0" xfId="1" applyFont="1" applyFill="1"/>
    <xf numFmtId="0" fontId="0" fillId="0" borderId="2" xfId="0" applyBorder="1"/>
    <xf numFmtId="0" fontId="25" fillId="0" borderId="2" xfId="0" applyFont="1" applyBorder="1"/>
    <xf numFmtId="0" fontId="17" fillId="0" borderId="4" xfId="0" applyFont="1" applyBorder="1"/>
    <xf numFmtId="164" fontId="17" fillId="0" borderId="4" xfId="1" applyNumberFormat="1" applyFont="1" applyFill="1" applyBorder="1" applyAlignment="1">
      <alignment horizontal="right"/>
    </xf>
    <xf numFmtId="164" fontId="17" fillId="0" borderId="5" xfId="1" applyNumberFormat="1" applyFont="1" applyBorder="1"/>
    <xf numFmtId="0" fontId="17" fillId="0" borderId="0" xfId="0" applyFont="1"/>
    <xf numFmtId="43" fontId="17" fillId="0" borderId="0" xfId="6" applyFont="1" applyBorder="1" applyAlignment="1">
      <alignment horizontal="right"/>
    </xf>
    <xf numFmtId="43" fontId="17" fillId="0" borderId="7" xfId="6" applyFont="1" applyBorder="1"/>
    <xf numFmtId="10" fontId="17" fillId="0" borderId="0" xfId="2" applyNumberFormat="1" applyFont="1" applyFill="1" applyBorder="1" applyAlignment="1">
      <alignment horizontal="right"/>
    </xf>
    <xf numFmtId="10" fontId="17" fillId="0" borderId="7" xfId="2" applyNumberFormat="1" applyFont="1" applyBorder="1"/>
    <xf numFmtId="10" fontId="17" fillId="0" borderId="0" xfId="2" applyNumberFormat="1" applyFont="1" applyBorder="1" applyAlignment="1">
      <alignment horizontal="right"/>
    </xf>
    <xf numFmtId="0" fontId="17" fillId="0" borderId="2" xfId="0" applyFont="1" applyBorder="1"/>
    <xf numFmtId="43" fontId="25" fillId="0" borderId="2" xfId="6" applyFont="1" applyBorder="1" applyAlignment="1">
      <alignment horizontal="right"/>
    </xf>
    <xf numFmtId="43" fontId="17" fillId="0" borderId="9" xfId="6" applyFont="1" applyBorder="1"/>
    <xf numFmtId="0" fontId="25" fillId="0" borderId="0" xfId="0" applyFont="1" applyAlignment="1">
      <alignment horizontal="right"/>
    </xf>
    <xf numFmtId="0" fontId="0" fillId="0" borderId="4" xfId="0" applyBorder="1"/>
    <xf numFmtId="164" fontId="25" fillId="0" borderId="4" xfId="0" applyNumberFormat="1" applyFont="1" applyBorder="1" applyAlignment="1">
      <alignment horizontal="right"/>
    </xf>
    <xf numFmtId="164" fontId="17" fillId="0" borderId="0" xfId="1" applyNumberFormat="1" applyFont="1" applyBorder="1" applyAlignment="1">
      <alignment horizontal="left"/>
    </xf>
    <xf numFmtId="164" fontId="17" fillId="0" borderId="7" xfId="1" applyNumberFormat="1" applyFont="1" applyBorder="1"/>
    <xf numFmtId="164" fontId="25" fillId="0" borderId="2" xfId="0" applyNumberFormat="1" applyFont="1" applyBorder="1" applyAlignment="1">
      <alignment horizontal="right"/>
    </xf>
    <xf numFmtId="164" fontId="17" fillId="0" borderId="9" xfId="1" applyNumberFormat="1" applyFont="1" applyBorder="1"/>
    <xf numFmtId="164" fontId="17" fillId="0" borderId="0" xfId="1" applyNumberFormat="1" applyFont="1" applyFill="1" applyBorder="1" applyAlignment="1">
      <alignment horizontal="right"/>
    </xf>
    <xf numFmtId="164" fontId="17" fillId="0" borderId="7" xfId="2" applyNumberFormat="1" applyFont="1" applyBorder="1"/>
    <xf numFmtId="164" fontId="17" fillId="0" borderId="0" xfId="1" applyNumberFormat="1" applyFont="1" applyBorder="1" applyAlignment="1">
      <alignment horizontal="right"/>
    </xf>
    <xf numFmtId="164" fontId="17" fillId="0" borderId="2" xfId="1" applyNumberFormat="1" applyFont="1" applyFill="1" applyBorder="1" applyAlignment="1">
      <alignment horizontal="right"/>
    </xf>
    <xf numFmtId="164" fontId="17" fillId="0" borderId="9" xfId="0" applyNumberFormat="1" applyFont="1" applyBorder="1"/>
    <xf numFmtId="0" fontId="17" fillId="0" borderId="0" xfId="0" applyFont="1" applyAlignment="1">
      <alignment horizontal="right"/>
    </xf>
    <xf numFmtId="0" fontId="16" fillId="0" borderId="0" xfId="0" applyFont="1"/>
    <xf numFmtId="44" fontId="16" fillId="0" borderId="0" xfId="1" applyFont="1" applyFill="1" applyBorder="1"/>
    <xf numFmtId="164" fontId="16" fillId="0" borderId="0" xfId="1" applyNumberFormat="1" applyFont="1" applyBorder="1" applyAlignment="1">
      <alignment horizontal="left"/>
    </xf>
    <xf numFmtId="0" fontId="15" fillId="0" borderId="0" xfId="0" applyFont="1"/>
    <xf numFmtId="0" fontId="14" fillId="0" borderId="0" xfId="0" applyFont="1"/>
    <xf numFmtId="44" fontId="14" fillId="0" borderId="0" xfId="1" applyFont="1"/>
    <xf numFmtId="0" fontId="13" fillId="0" borderId="0" xfId="0" applyFont="1"/>
    <xf numFmtId="44" fontId="13" fillId="0" borderId="0" xfId="1" applyFont="1"/>
    <xf numFmtId="0" fontId="12" fillId="0" borderId="0" xfId="0" applyFont="1"/>
    <xf numFmtId="165" fontId="20" fillId="0" borderId="0" xfId="6" applyNumberFormat="1" applyFont="1" applyBorder="1"/>
    <xf numFmtId="0" fontId="11" fillId="0" borderId="0" xfId="0" applyFont="1"/>
    <xf numFmtId="44" fontId="11" fillId="0" borderId="0" xfId="1" applyFont="1"/>
    <xf numFmtId="49" fontId="10" fillId="0" borderId="0" xfId="0" applyNumberFormat="1" applyFont="1"/>
    <xf numFmtId="0" fontId="10" fillId="0" borderId="0" xfId="0" applyFont="1"/>
    <xf numFmtId="0" fontId="20" fillId="0" borderId="0" xfId="0" applyFont="1" applyAlignment="1">
      <alignment horizontal="center"/>
    </xf>
    <xf numFmtId="44" fontId="20" fillId="0" borderId="0" xfId="0" applyNumberFormat="1" applyFont="1" applyAlignment="1">
      <alignment horizontal="center"/>
    </xf>
    <xf numFmtId="165" fontId="16" fillId="0" borderId="0" xfId="6" applyNumberFormat="1" applyFont="1" applyBorder="1" applyAlignment="1">
      <alignment horizontal="center"/>
    </xf>
    <xf numFmtId="165" fontId="20" fillId="0" borderId="0" xfId="6" applyNumberFormat="1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center"/>
    </xf>
    <xf numFmtId="44" fontId="8" fillId="0" borderId="0" xfId="1" applyFont="1"/>
    <xf numFmtId="49" fontId="7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165" fontId="16" fillId="0" borderId="1" xfId="6" applyNumberFormat="1" applyFont="1" applyBorder="1" applyAlignment="1">
      <alignment horizontal="center"/>
    </xf>
    <xf numFmtId="0" fontId="5" fillId="0" borderId="0" xfId="0" applyFont="1"/>
    <xf numFmtId="43" fontId="20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applyNumberFormat="1" applyFont="1"/>
    <xf numFmtId="44" fontId="4" fillId="0" borderId="0" xfId="1" applyFont="1"/>
    <xf numFmtId="0" fontId="3" fillId="0" borderId="0" xfId="0" applyFont="1"/>
    <xf numFmtId="10" fontId="20" fillId="0" borderId="0" xfId="2" applyNumberFormat="1" applyFont="1" applyAlignment="1">
      <alignment horizontal="center"/>
    </xf>
    <xf numFmtId="0" fontId="2" fillId="0" borderId="0" xfId="0" applyFont="1"/>
    <xf numFmtId="44" fontId="2" fillId="0" borderId="0" xfId="1" applyFont="1"/>
    <xf numFmtId="49" fontId="10" fillId="2" borderId="0" xfId="0" applyNumberFormat="1" applyFont="1" applyFill="1"/>
    <xf numFmtId="44" fontId="16" fillId="2" borderId="0" xfId="1" applyFont="1" applyFill="1" applyBorder="1"/>
    <xf numFmtId="0" fontId="4" fillId="2" borderId="0" xfId="0" applyFont="1" applyFill="1" applyAlignment="1">
      <alignment horizontal="center"/>
    </xf>
    <xf numFmtId="165" fontId="16" fillId="2" borderId="0" xfId="6" applyNumberFormat="1" applyFont="1" applyFill="1" applyBorder="1" applyAlignment="1">
      <alignment horizontal="center"/>
    </xf>
    <xf numFmtId="44" fontId="20" fillId="2" borderId="0" xfId="0" applyNumberFormat="1" applyFont="1" applyFill="1"/>
    <xf numFmtId="44" fontId="20" fillId="2" borderId="0" xfId="1" applyFont="1" applyFill="1" applyBorder="1"/>
    <xf numFmtId="49" fontId="7" fillId="2" borderId="0" xfId="0" applyNumberFormat="1" applyFont="1" applyFill="1"/>
    <xf numFmtId="49" fontId="10" fillId="3" borderId="0" xfId="0" applyNumberFormat="1" applyFont="1" applyFill="1"/>
    <xf numFmtId="44" fontId="16" fillId="3" borderId="0" xfId="1" applyFont="1" applyFill="1" applyBorder="1"/>
    <xf numFmtId="0" fontId="4" fillId="3" borderId="0" xfId="0" applyFont="1" applyFill="1" applyAlignment="1">
      <alignment horizontal="center"/>
    </xf>
    <xf numFmtId="165" fontId="16" fillId="3" borderId="0" xfId="6" applyNumberFormat="1" applyFont="1" applyFill="1" applyBorder="1" applyAlignment="1">
      <alignment horizontal="center"/>
    </xf>
    <xf numFmtId="44" fontId="20" fillId="3" borderId="0" xfId="0" applyNumberFormat="1" applyFont="1" applyFill="1"/>
    <xf numFmtId="0" fontId="19" fillId="3" borderId="0" xfId="0" applyFont="1" applyFill="1"/>
    <xf numFmtId="44" fontId="20" fillId="3" borderId="0" xfId="1" applyFont="1" applyFill="1" applyBorder="1"/>
    <xf numFmtId="49" fontId="4" fillId="3" borderId="0" xfId="0" applyNumberFormat="1" applyFont="1" applyFill="1"/>
    <xf numFmtId="0" fontId="1" fillId="2" borderId="0" xfId="0" applyFont="1" applyFill="1"/>
    <xf numFmtId="44" fontId="20" fillId="2" borderId="0" xfId="1" applyFont="1" applyFill="1"/>
    <xf numFmtId="0" fontId="23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17" fillId="0" borderId="3" xfId="0" applyFont="1" applyBorder="1" applyAlignment="1">
      <alignment horizontal="center" vertical="center" textRotation="90"/>
    </xf>
    <xf numFmtId="0" fontId="17" fillId="0" borderId="6" xfId="0" applyFont="1" applyBorder="1" applyAlignment="1">
      <alignment horizontal="center" vertical="center" textRotation="90"/>
    </xf>
    <xf numFmtId="0" fontId="17" fillId="0" borderId="8" xfId="0" applyFont="1" applyBorder="1" applyAlignment="1">
      <alignment horizontal="center" vertical="center" textRotation="90"/>
    </xf>
    <xf numFmtId="0" fontId="26" fillId="0" borderId="0" xfId="0" applyFont="1" applyAlignment="1">
      <alignment horizontal="left" wrapText="1"/>
    </xf>
  </cellXfs>
  <cellStyles count="7">
    <cellStyle name="Comma" xfId="6" builtinId="3"/>
    <cellStyle name="Currency" xfId="1" builtinId="4"/>
    <cellStyle name="Currency 2" xfId="4" xr:uid="{00000000-0005-0000-0000-000001000000}"/>
    <cellStyle name="Normal" xfId="0" builtinId="0"/>
    <cellStyle name="Normal 2" xfId="3" xr:uid="{00000000-0005-0000-0000-000003000000}"/>
    <cellStyle name="Percent" xfId="2" builtinId="5"/>
    <cellStyle name="Percent 2" xfId="5" xr:uid="{00000000-0005-0000-0000-000005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9"/>
  <sheetViews>
    <sheetView tabSelected="1" zoomScale="90" zoomScaleNormal="90" workbookViewId="0">
      <selection activeCell="B37" sqref="B37"/>
    </sheetView>
  </sheetViews>
  <sheetFormatPr defaultColWidth="11" defaultRowHeight="15" x14ac:dyDescent="0.25"/>
  <cols>
    <col min="1" max="1" width="12.875" style="8" customWidth="1"/>
    <col min="2" max="2" width="15.125" style="8" bestFit="1" customWidth="1"/>
    <col min="3" max="3" width="11.5" style="8" bestFit="1" customWidth="1"/>
    <col min="4" max="4" width="8" style="62" bestFit="1" customWidth="1"/>
    <col min="5" max="5" width="13.125" style="62" customWidth="1"/>
    <col min="6" max="6" width="11.625" style="8" bestFit="1" customWidth="1"/>
    <col min="7" max="7" width="16.125" style="8" bestFit="1" customWidth="1"/>
    <col min="8" max="8" width="13.125" style="8" bestFit="1" customWidth="1"/>
    <col min="9" max="9" width="6.5" style="8" bestFit="1" customWidth="1"/>
    <col min="10" max="10" width="5.625" style="8" customWidth="1"/>
    <col min="11" max="11" width="21.875" style="8" customWidth="1"/>
    <col min="12" max="12" width="14.125" style="8" bestFit="1" customWidth="1"/>
    <col min="13" max="13" width="11.625" style="8" customWidth="1"/>
    <col min="14" max="14" width="13.75" style="8" bestFit="1" customWidth="1"/>
    <col min="15" max="15" width="13.125" style="8" customWidth="1"/>
    <col min="16" max="16" width="12" style="8" customWidth="1"/>
    <col min="17" max="17" width="5.75" style="8" customWidth="1"/>
    <col min="18" max="18" width="23.5" style="8" customWidth="1"/>
    <col min="19" max="19" width="12.625" style="8" customWidth="1"/>
    <col min="20" max="20" width="7" style="8" customWidth="1"/>
    <col min="21" max="16384" width="11" style="8"/>
  </cols>
  <sheetData>
    <row r="1" spans="1:20" x14ac:dyDescent="0.25">
      <c r="A1" s="3" t="s">
        <v>32</v>
      </c>
      <c r="B1" s="73" t="s">
        <v>89</v>
      </c>
    </row>
    <row r="2" spans="1:20" x14ac:dyDescent="0.25">
      <c r="A2" s="8" t="s">
        <v>33</v>
      </c>
      <c r="B2" s="8">
        <v>16</v>
      </c>
    </row>
    <row r="3" spans="1:20" x14ac:dyDescent="0.25">
      <c r="A3" s="48" t="s">
        <v>62</v>
      </c>
      <c r="B3" s="17">
        <v>14478</v>
      </c>
      <c r="D3" s="74">
        <f>B3/16</f>
        <v>904.875</v>
      </c>
      <c r="E3" s="74"/>
    </row>
    <row r="5" spans="1:20" x14ac:dyDescent="0.25">
      <c r="B5" s="1" t="s">
        <v>0</v>
      </c>
      <c r="C5" s="7" t="s">
        <v>1</v>
      </c>
      <c r="D5" s="1" t="s">
        <v>2</v>
      </c>
      <c r="E5" s="1" t="s">
        <v>30</v>
      </c>
      <c r="F5" s="1" t="s">
        <v>31</v>
      </c>
      <c r="G5" s="1" t="s">
        <v>28</v>
      </c>
      <c r="H5" s="2" t="s">
        <v>29</v>
      </c>
      <c r="I5" s="2" t="s">
        <v>31</v>
      </c>
      <c r="K5" s="1" t="s">
        <v>34</v>
      </c>
      <c r="L5" s="1" t="s">
        <v>35</v>
      </c>
      <c r="M5" s="1" t="s">
        <v>12</v>
      </c>
      <c r="N5" s="1" t="s">
        <v>29</v>
      </c>
      <c r="O5" s="1" t="s">
        <v>12</v>
      </c>
      <c r="P5" s="1" t="s">
        <v>28</v>
      </c>
      <c r="R5" s="99" t="s">
        <v>16</v>
      </c>
      <c r="S5" s="99"/>
    </row>
    <row r="6" spans="1:20" x14ac:dyDescent="0.25">
      <c r="A6" s="54"/>
      <c r="B6" s="82" t="s">
        <v>69</v>
      </c>
      <c r="C6" s="83">
        <v>2475</v>
      </c>
      <c r="D6" s="84" t="s">
        <v>80</v>
      </c>
      <c r="E6" s="85">
        <v>900</v>
      </c>
      <c r="F6" s="86">
        <f>C6/E6</f>
        <v>2.75</v>
      </c>
      <c r="G6" s="97" t="s">
        <v>103</v>
      </c>
      <c r="H6" s="87">
        <v>2550</v>
      </c>
      <c r="I6" s="87">
        <f>H6/E6</f>
        <v>2.8333333333333335</v>
      </c>
      <c r="K6" s="97" t="s">
        <v>104</v>
      </c>
      <c r="L6" s="98">
        <f>41871.27+1016</f>
        <v>42887.27</v>
      </c>
      <c r="M6" s="98">
        <f>L6/16</f>
        <v>2680.4543749999998</v>
      </c>
      <c r="N6" s="98">
        <f>L6</f>
        <v>42887.27</v>
      </c>
      <c r="O6" s="98">
        <f>N6/16</f>
        <v>2680.4543749999998</v>
      </c>
      <c r="P6" s="59"/>
      <c r="R6" s="3" t="s">
        <v>40</v>
      </c>
      <c r="S6" s="4">
        <f>T6*B36</f>
        <v>3000000</v>
      </c>
      <c r="T6" s="12">
        <f>1-C43</f>
        <v>0.75</v>
      </c>
    </row>
    <row r="7" spans="1:20" x14ac:dyDescent="0.25">
      <c r="A7" s="54"/>
      <c r="B7" s="69" t="s">
        <v>70</v>
      </c>
      <c r="C7" s="49">
        <v>1850</v>
      </c>
      <c r="D7" s="71" t="s">
        <v>88</v>
      </c>
      <c r="E7" s="64">
        <v>700</v>
      </c>
      <c r="F7" s="10">
        <f t="shared" ref="F7:F21" si="0">C7/E7</f>
        <v>2.6428571428571428</v>
      </c>
      <c r="G7" s="18"/>
      <c r="H7" s="9">
        <v>2050</v>
      </c>
      <c r="I7" s="9">
        <f t="shared" ref="I7:I21" si="1">H7/E7</f>
        <v>2.9285714285714284</v>
      </c>
      <c r="K7" s="8" t="s">
        <v>5</v>
      </c>
      <c r="L7" s="11">
        <v>18898.509999999998</v>
      </c>
      <c r="M7" s="11">
        <f t="shared" ref="M7:M18" si="2">L7/16</f>
        <v>1181.1568749999999</v>
      </c>
      <c r="N7" s="11">
        <v>16000</v>
      </c>
      <c r="O7" s="20">
        <f t="shared" ref="O7:O18" si="3">N7/16</f>
        <v>1000</v>
      </c>
      <c r="P7" s="11"/>
      <c r="R7" s="8" t="s">
        <v>17</v>
      </c>
      <c r="S7" s="13">
        <v>6.5000000000000002E-2</v>
      </c>
    </row>
    <row r="8" spans="1:20" x14ac:dyDescent="0.25">
      <c r="A8" s="54"/>
      <c r="B8" s="69" t="s">
        <v>71</v>
      </c>
      <c r="C8" s="49">
        <v>1700</v>
      </c>
      <c r="D8" s="71" t="s">
        <v>88</v>
      </c>
      <c r="E8" s="64">
        <v>700</v>
      </c>
      <c r="F8" s="10">
        <f t="shared" si="0"/>
        <v>2.4285714285714284</v>
      </c>
      <c r="G8" s="18"/>
      <c r="H8" s="9">
        <v>2050</v>
      </c>
      <c r="I8" s="9">
        <f t="shared" si="1"/>
        <v>2.9285714285714284</v>
      </c>
      <c r="K8" s="48" t="s">
        <v>64</v>
      </c>
      <c r="L8" s="11">
        <f>7847.06+11436.18</f>
        <v>19283.240000000002</v>
      </c>
      <c r="M8" s="11">
        <f t="shared" si="2"/>
        <v>1205.2025000000001</v>
      </c>
      <c r="N8" s="11">
        <f t="shared" ref="N8:N12" si="4">L8</f>
        <v>19283.240000000002</v>
      </c>
      <c r="O8" s="20">
        <f t="shared" si="3"/>
        <v>1205.2025000000001</v>
      </c>
      <c r="P8" s="55"/>
      <c r="R8" s="8" t="s">
        <v>18</v>
      </c>
      <c r="S8" s="8">
        <v>30</v>
      </c>
    </row>
    <row r="9" spans="1:20" x14ac:dyDescent="0.25">
      <c r="A9" s="54"/>
      <c r="B9" s="69" t="s">
        <v>72</v>
      </c>
      <c r="C9" s="49">
        <v>1950</v>
      </c>
      <c r="D9" s="71" t="s">
        <v>88</v>
      </c>
      <c r="E9" s="64">
        <v>700</v>
      </c>
      <c r="F9" s="10">
        <f t="shared" si="0"/>
        <v>2.7857142857142856</v>
      </c>
      <c r="G9" s="18"/>
      <c r="H9" s="9">
        <v>2050</v>
      </c>
      <c r="I9" s="9">
        <f t="shared" si="1"/>
        <v>2.9285714285714284</v>
      </c>
      <c r="K9" s="51" t="s">
        <v>65</v>
      </c>
      <c r="L9" s="11">
        <v>3109.52</v>
      </c>
      <c r="M9" s="11">
        <f t="shared" si="2"/>
        <v>194.345</v>
      </c>
      <c r="N9" s="11">
        <f>L9</f>
        <v>3109.52</v>
      </c>
      <c r="O9" s="20">
        <f t="shared" si="3"/>
        <v>194.345</v>
      </c>
      <c r="P9" s="53" t="s">
        <v>66</v>
      </c>
      <c r="R9" s="8" t="s">
        <v>19</v>
      </c>
      <c r="S9" s="8">
        <v>12</v>
      </c>
    </row>
    <row r="10" spans="1:20" x14ac:dyDescent="0.25">
      <c r="A10" s="54"/>
      <c r="B10" s="89" t="s">
        <v>73</v>
      </c>
      <c r="C10" s="90">
        <v>2450</v>
      </c>
      <c r="D10" s="91" t="s">
        <v>80</v>
      </c>
      <c r="E10" s="92">
        <v>900</v>
      </c>
      <c r="F10" s="93">
        <f t="shared" si="0"/>
        <v>2.7222222222222223</v>
      </c>
      <c r="G10" s="94"/>
      <c r="H10" s="95">
        <v>2550</v>
      </c>
      <c r="I10" s="95">
        <f t="shared" si="1"/>
        <v>2.8333333333333335</v>
      </c>
      <c r="K10" s="8" t="s">
        <v>6</v>
      </c>
      <c r="L10" s="11">
        <v>0</v>
      </c>
      <c r="M10" s="11">
        <f t="shared" si="2"/>
        <v>0</v>
      </c>
      <c r="N10" s="11">
        <f t="shared" si="4"/>
        <v>0</v>
      </c>
      <c r="O10" s="20">
        <f t="shared" si="3"/>
        <v>0</v>
      </c>
      <c r="P10" s="81" t="s">
        <v>101</v>
      </c>
      <c r="R10" s="8" t="s">
        <v>20</v>
      </c>
      <c r="S10" s="8">
        <f>S8*S9</f>
        <v>360</v>
      </c>
    </row>
    <row r="11" spans="1:20" x14ac:dyDescent="0.25">
      <c r="A11" s="54"/>
      <c r="B11" s="69" t="s">
        <v>74</v>
      </c>
      <c r="C11" s="49">
        <v>1900</v>
      </c>
      <c r="D11" s="71" t="s">
        <v>88</v>
      </c>
      <c r="E11" s="64">
        <v>700</v>
      </c>
      <c r="F11" s="10">
        <f t="shared" si="0"/>
        <v>2.7142857142857144</v>
      </c>
      <c r="G11" s="18"/>
      <c r="H11" s="9">
        <v>2050</v>
      </c>
      <c r="I11" s="9">
        <f t="shared" si="1"/>
        <v>2.9285714285714284</v>
      </c>
      <c r="K11" s="8" t="s">
        <v>37</v>
      </c>
      <c r="L11" s="11">
        <f>B2*500</f>
        <v>8000</v>
      </c>
      <c r="M11" s="11">
        <f t="shared" si="2"/>
        <v>500</v>
      </c>
      <c r="N11" s="11">
        <f>L11</f>
        <v>8000</v>
      </c>
      <c r="O11" s="20">
        <f t="shared" si="3"/>
        <v>500</v>
      </c>
      <c r="P11" s="11"/>
      <c r="R11" s="3" t="s">
        <v>21</v>
      </c>
      <c r="S11" s="5">
        <f>-PMT(S7/S9,S10,S6)</f>
        <v>18962.040704788913</v>
      </c>
    </row>
    <row r="12" spans="1:20" x14ac:dyDescent="0.25">
      <c r="A12" s="54"/>
      <c r="B12" s="69" t="s">
        <v>75</v>
      </c>
      <c r="C12" s="49">
        <v>2950</v>
      </c>
      <c r="D12" s="75" t="s">
        <v>92</v>
      </c>
      <c r="E12" s="64">
        <v>1100</v>
      </c>
      <c r="F12" s="10">
        <f t="shared" si="0"/>
        <v>2.6818181818181817</v>
      </c>
      <c r="G12" s="18"/>
      <c r="H12" s="9">
        <v>3050</v>
      </c>
      <c r="I12" s="9">
        <f t="shared" si="1"/>
        <v>2.7727272727272729</v>
      </c>
      <c r="K12" s="8" t="s">
        <v>25</v>
      </c>
      <c r="L12" s="11">
        <v>4000</v>
      </c>
      <c r="M12" s="11">
        <f t="shared" si="2"/>
        <v>250</v>
      </c>
      <c r="N12" s="11">
        <f t="shared" si="4"/>
        <v>4000</v>
      </c>
      <c r="O12" s="20">
        <f t="shared" si="3"/>
        <v>250</v>
      </c>
      <c r="P12" s="68"/>
      <c r="R12" s="8" t="s">
        <v>22</v>
      </c>
      <c r="S12" s="14">
        <f>S10*S11</f>
        <v>6826334.6537240082</v>
      </c>
    </row>
    <row r="13" spans="1:20" x14ac:dyDescent="0.25">
      <c r="A13" s="54"/>
      <c r="B13" s="69" t="s">
        <v>76</v>
      </c>
      <c r="C13" s="49">
        <v>1850</v>
      </c>
      <c r="D13" s="71" t="s">
        <v>88</v>
      </c>
      <c r="E13" s="64">
        <v>700</v>
      </c>
      <c r="F13" s="10">
        <f t="shared" si="0"/>
        <v>2.6428571428571428</v>
      </c>
      <c r="G13" s="18"/>
      <c r="H13" s="9">
        <v>2050</v>
      </c>
      <c r="I13" s="9">
        <f t="shared" si="1"/>
        <v>2.9285714285714284</v>
      </c>
      <c r="K13" s="80" t="s">
        <v>100</v>
      </c>
      <c r="L13" s="11">
        <f>B28*0.04</f>
        <v>16470.599999999999</v>
      </c>
      <c r="M13" s="11">
        <f t="shared" si="2"/>
        <v>1029.4124999999999</v>
      </c>
      <c r="N13" s="11">
        <f>H28*0.04</f>
        <v>17418.240000000002</v>
      </c>
      <c r="O13" s="20">
        <f t="shared" si="3"/>
        <v>1088.6400000000001</v>
      </c>
      <c r="P13" s="11"/>
      <c r="R13" s="8" t="s">
        <v>23</v>
      </c>
      <c r="S13" s="15">
        <f>S6-S12</f>
        <v>-3826334.6537240082</v>
      </c>
    </row>
    <row r="14" spans="1:20" x14ac:dyDescent="0.25">
      <c r="A14" s="54"/>
      <c r="B14" s="60" t="s">
        <v>81</v>
      </c>
      <c r="C14" s="49">
        <v>2850</v>
      </c>
      <c r="D14" s="75" t="s">
        <v>92</v>
      </c>
      <c r="E14" s="64">
        <v>1100</v>
      </c>
      <c r="F14" s="10">
        <f t="shared" si="0"/>
        <v>2.5909090909090908</v>
      </c>
      <c r="G14" s="18"/>
      <c r="H14" s="9">
        <v>3050</v>
      </c>
      <c r="I14" s="9">
        <f t="shared" si="1"/>
        <v>2.7727272727272729</v>
      </c>
      <c r="K14" s="80" t="s">
        <v>102</v>
      </c>
      <c r="L14" s="11">
        <v>6000</v>
      </c>
      <c r="M14" s="11">
        <f t="shared" si="2"/>
        <v>375</v>
      </c>
      <c r="N14" s="11">
        <f>L14</f>
        <v>6000</v>
      </c>
      <c r="O14" s="20">
        <f t="shared" si="3"/>
        <v>375</v>
      </c>
      <c r="P14" s="77" t="s">
        <v>94</v>
      </c>
    </row>
    <row r="15" spans="1:20" x14ac:dyDescent="0.25">
      <c r="A15" s="54"/>
      <c r="B15" s="69" t="s">
        <v>82</v>
      </c>
      <c r="C15" s="49">
        <v>1800</v>
      </c>
      <c r="D15" s="75" t="s">
        <v>88</v>
      </c>
      <c r="E15" s="64">
        <v>700</v>
      </c>
      <c r="F15" s="10">
        <f t="shared" si="0"/>
        <v>2.5714285714285716</v>
      </c>
      <c r="G15" s="18"/>
      <c r="H15" s="9">
        <v>2050</v>
      </c>
      <c r="I15" s="9">
        <f t="shared" si="1"/>
        <v>2.9285714285714284</v>
      </c>
      <c r="K15" s="78" t="s">
        <v>95</v>
      </c>
      <c r="L15" s="11">
        <v>3101.76</v>
      </c>
      <c r="M15" s="11">
        <f t="shared" si="2"/>
        <v>193.86</v>
      </c>
      <c r="N15" s="11">
        <f>L15</f>
        <v>3101.76</v>
      </c>
      <c r="O15" s="20">
        <f t="shared" si="3"/>
        <v>193.86</v>
      </c>
      <c r="P15" s="77"/>
      <c r="R15" s="8" t="s">
        <v>26</v>
      </c>
      <c r="S15" s="16">
        <f>B34/(S11*12)</f>
        <v>1.2684979625597614</v>
      </c>
    </row>
    <row r="16" spans="1:20" x14ac:dyDescent="0.25">
      <c r="A16" s="54"/>
      <c r="B16" s="88" t="s">
        <v>83</v>
      </c>
      <c r="C16" s="83">
        <v>2950</v>
      </c>
      <c r="D16" s="84" t="s">
        <v>92</v>
      </c>
      <c r="E16" s="85">
        <v>1100</v>
      </c>
      <c r="F16" s="86">
        <f t="shared" si="0"/>
        <v>2.6818181818181817</v>
      </c>
      <c r="G16" s="97" t="s">
        <v>103</v>
      </c>
      <c r="H16" s="87">
        <v>3050</v>
      </c>
      <c r="I16" s="87">
        <f t="shared" si="1"/>
        <v>2.7727272727272729</v>
      </c>
      <c r="K16" s="78" t="s">
        <v>96</v>
      </c>
      <c r="L16" s="11">
        <v>0</v>
      </c>
      <c r="M16" s="11">
        <f t="shared" si="2"/>
        <v>0</v>
      </c>
      <c r="N16" s="11">
        <f>L16</f>
        <v>0</v>
      </c>
      <c r="O16" s="20">
        <f t="shared" si="3"/>
        <v>0</v>
      </c>
      <c r="P16" s="11"/>
    </row>
    <row r="17" spans="1:20" x14ac:dyDescent="0.25">
      <c r="A17" s="54"/>
      <c r="B17" s="69" t="s">
        <v>84</v>
      </c>
      <c r="C17" s="49">
        <v>1800</v>
      </c>
      <c r="D17" s="75" t="s">
        <v>88</v>
      </c>
      <c r="E17" s="64">
        <v>700</v>
      </c>
      <c r="F17" s="10">
        <f t="shared" si="0"/>
        <v>2.5714285714285716</v>
      </c>
      <c r="G17" s="18"/>
      <c r="H17" s="9">
        <v>2050</v>
      </c>
      <c r="I17" s="9">
        <f t="shared" si="1"/>
        <v>2.9285714285714284</v>
      </c>
      <c r="K17" s="56" t="s">
        <v>68</v>
      </c>
      <c r="L17" s="11">
        <f>3650+1026.38</f>
        <v>4676.38</v>
      </c>
      <c r="M17" s="11">
        <f t="shared" si="2"/>
        <v>292.27375000000001</v>
      </c>
      <c r="N17" s="11">
        <f t="shared" ref="N17" si="5">L17</f>
        <v>4676.38</v>
      </c>
      <c r="O17" s="20">
        <f t="shared" si="3"/>
        <v>292.27375000000001</v>
      </c>
      <c r="P17" s="11"/>
    </row>
    <row r="18" spans="1:20" x14ac:dyDescent="0.25">
      <c r="A18" s="54"/>
      <c r="B18" s="96" t="s">
        <v>85</v>
      </c>
      <c r="C18" s="90">
        <v>2500</v>
      </c>
      <c r="D18" s="91" t="s">
        <v>80</v>
      </c>
      <c r="E18" s="92">
        <v>900</v>
      </c>
      <c r="F18" s="93">
        <f t="shared" si="0"/>
        <v>2.7777777777777777</v>
      </c>
      <c r="G18" s="94"/>
      <c r="H18" s="95">
        <v>2550</v>
      </c>
      <c r="I18" s="95">
        <f t="shared" si="1"/>
        <v>2.8333333333333335</v>
      </c>
      <c r="K18" s="8" t="s">
        <v>8</v>
      </c>
      <c r="L18" s="11">
        <f>SUM(L6:L17)</f>
        <v>126427.28000000001</v>
      </c>
      <c r="M18" s="11">
        <f t="shared" si="2"/>
        <v>7901.7050000000008</v>
      </c>
      <c r="N18" s="11">
        <f>SUM(N6:N17)</f>
        <v>124476.41</v>
      </c>
      <c r="O18" s="20">
        <f t="shared" si="3"/>
        <v>7779.7756250000002</v>
      </c>
      <c r="P18" s="11"/>
      <c r="R18" s="99" t="s">
        <v>63</v>
      </c>
      <c r="S18" s="99"/>
    </row>
    <row r="19" spans="1:20" x14ac:dyDescent="0.25">
      <c r="A19" s="54"/>
      <c r="B19" s="76" t="s">
        <v>86</v>
      </c>
      <c r="C19" s="49">
        <v>1850</v>
      </c>
      <c r="D19" s="75" t="s">
        <v>88</v>
      </c>
      <c r="E19" s="64">
        <v>700</v>
      </c>
      <c r="F19" s="10">
        <f t="shared" si="0"/>
        <v>2.6428571428571428</v>
      </c>
      <c r="G19" s="18"/>
      <c r="H19" s="9">
        <v>2050</v>
      </c>
      <c r="I19" s="9">
        <f t="shared" si="1"/>
        <v>2.9285714285714284</v>
      </c>
      <c r="L19" s="14"/>
      <c r="M19" s="14"/>
      <c r="N19" s="11"/>
      <c r="O19" s="11"/>
      <c r="P19" s="11"/>
      <c r="R19" s="3" t="s">
        <v>40</v>
      </c>
      <c r="S19" s="4">
        <f>T19*H36</f>
        <v>3000000</v>
      </c>
      <c r="T19" s="12">
        <f>1-I43</f>
        <v>0.75</v>
      </c>
    </row>
    <row r="20" spans="1:20" x14ac:dyDescent="0.25">
      <c r="A20" s="54"/>
      <c r="B20" s="76" t="s">
        <v>87</v>
      </c>
      <c r="C20" s="49">
        <v>2400</v>
      </c>
      <c r="D20" s="67" t="s">
        <v>80</v>
      </c>
      <c r="E20" s="64">
        <v>900</v>
      </c>
      <c r="F20" s="10">
        <f t="shared" si="0"/>
        <v>2.6666666666666665</v>
      </c>
      <c r="G20" s="18"/>
      <c r="H20" s="9">
        <v>2550</v>
      </c>
      <c r="I20" s="9">
        <f t="shared" si="1"/>
        <v>2.8333333333333335</v>
      </c>
      <c r="K20" s="8" t="s">
        <v>24</v>
      </c>
      <c r="L20" s="13">
        <f>L18/B28</f>
        <v>0.30703746068752813</v>
      </c>
      <c r="M20" s="13"/>
      <c r="N20" s="13">
        <f>N18/H28</f>
        <v>0.28585301385214579</v>
      </c>
      <c r="O20" s="13"/>
      <c r="P20" s="13"/>
      <c r="R20" s="8" t="s">
        <v>17</v>
      </c>
      <c r="S20" s="13">
        <v>6.5000000000000002E-2</v>
      </c>
    </row>
    <row r="21" spans="1:20" x14ac:dyDescent="0.25">
      <c r="A21" s="54"/>
      <c r="B21" s="76" t="s">
        <v>93</v>
      </c>
      <c r="C21" s="49">
        <v>2100</v>
      </c>
      <c r="D21" s="75" t="s">
        <v>88</v>
      </c>
      <c r="E21" s="72">
        <v>700</v>
      </c>
      <c r="F21" s="10">
        <f t="shared" si="0"/>
        <v>3</v>
      </c>
      <c r="G21" s="18"/>
      <c r="H21" s="9">
        <v>2050</v>
      </c>
      <c r="I21" s="9">
        <f t="shared" si="1"/>
        <v>2.9285714285714284</v>
      </c>
      <c r="K21" s="8" t="s">
        <v>12</v>
      </c>
      <c r="L21" s="11">
        <f>L18/B2</f>
        <v>7901.7050000000008</v>
      </c>
      <c r="M21" s="11"/>
      <c r="N21" s="11">
        <f>N18/B2</f>
        <v>7779.7756250000002</v>
      </c>
      <c r="O21" s="11"/>
      <c r="P21" s="11"/>
      <c r="R21" s="8" t="s">
        <v>18</v>
      </c>
      <c r="S21" s="8">
        <v>30</v>
      </c>
    </row>
    <row r="22" spans="1:20" x14ac:dyDescent="0.25">
      <c r="B22" s="3" t="s">
        <v>3</v>
      </c>
      <c r="C22" s="98">
        <f>SUM(C6:C21)</f>
        <v>35375</v>
      </c>
      <c r="E22" s="65">
        <f>SUM(E6:E21)</f>
        <v>13200</v>
      </c>
      <c r="H22" s="11">
        <f>SUM(H6:H21)</f>
        <v>37800</v>
      </c>
      <c r="R22" s="8" t="s">
        <v>19</v>
      </c>
      <c r="S22" s="8">
        <v>12</v>
      </c>
    </row>
    <row r="23" spans="1:20" x14ac:dyDescent="0.25">
      <c r="B23" s="8" t="s">
        <v>4</v>
      </c>
      <c r="C23" s="11">
        <f>C22*12</f>
        <v>424500</v>
      </c>
      <c r="H23" s="11">
        <f>H22*12</f>
        <v>453600</v>
      </c>
      <c r="K23" s="57"/>
      <c r="L23" s="9"/>
      <c r="M23" s="10"/>
      <c r="N23" s="10"/>
      <c r="O23" s="10"/>
      <c r="R23" s="8" t="s">
        <v>20</v>
      </c>
      <c r="S23" s="8">
        <f>S21*S22</f>
        <v>360</v>
      </c>
    </row>
    <row r="24" spans="1:20" x14ac:dyDescent="0.25">
      <c r="K24" s="57"/>
      <c r="L24" s="9"/>
      <c r="M24" s="10"/>
      <c r="N24" s="10"/>
      <c r="O24" s="10"/>
      <c r="R24" s="3" t="s">
        <v>21</v>
      </c>
      <c r="S24" s="5">
        <f>-PMT(S20/S22,S23,S19)</f>
        <v>18962.040704788913</v>
      </c>
    </row>
    <row r="25" spans="1:20" x14ac:dyDescent="0.25">
      <c r="K25" s="57">
        <v>7</v>
      </c>
      <c r="L25" s="9">
        <v>84400</v>
      </c>
      <c r="M25" s="10"/>
      <c r="N25" s="10"/>
      <c r="O25" s="10"/>
      <c r="R25" s="8" t="s">
        <v>22</v>
      </c>
      <c r="S25" s="14">
        <f>S23*S24</f>
        <v>6826334.6537240082</v>
      </c>
    </row>
    <row r="26" spans="1:20" x14ac:dyDescent="0.25">
      <c r="A26" s="3" t="s">
        <v>7</v>
      </c>
      <c r="B26" s="6">
        <f>C23</f>
        <v>424500</v>
      </c>
      <c r="H26" s="10">
        <f>H23</f>
        <v>453600</v>
      </c>
      <c r="K26" s="57">
        <v>20</v>
      </c>
      <c r="L26" s="9">
        <v>3415800</v>
      </c>
      <c r="M26" s="10"/>
      <c r="N26" s="10"/>
      <c r="O26" s="10"/>
      <c r="R26" s="8" t="s">
        <v>23</v>
      </c>
      <c r="S26" s="15">
        <f>S19-S25</f>
        <v>-3826334.6537240082</v>
      </c>
    </row>
    <row r="27" spans="1:20" x14ac:dyDescent="0.25">
      <c r="A27" s="8" t="s">
        <v>38</v>
      </c>
      <c r="B27" s="11">
        <f>B26*C27</f>
        <v>-12735</v>
      </c>
      <c r="C27" s="13">
        <v>-0.03</v>
      </c>
      <c r="H27" s="10">
        <f>H26*I27</f>
        <v>-18144</v>
      </c>
      <c r="I27" s="13">
        <v>-0.04</v>
      </c>
      <c r="K27" s="61" t="s">
        <v>77</v>
      </c>
      <c r="L27" s="11">
        <f>SUM(L25:L26)</f>
        <v>3500200</v>
      </c>
      <c r="M27" s="61" t="s">
        <v>78</v>
      </c>
      <c r="N27" s="10">
        <f>H36*0.8</f>
        <v>3200000</v>
      </c>
      <c r="O27" s="10"/>
    </row>
    <row r="28" spans="1:20" x14ac:dyDescent="0.25">
      <c r="A28" s="66" t="s">
        <v>79</v>
      </c>
      <c r="B28" s="11">
        <f>SUM(B26:B27)</f>
        <v>411765</v>
      </c>
      <c r="H28" s="10">
        <f>SUM(H26:H27)</f>
        <v>435456</v>
      </c>
      <c r="L28" s="10">
        <f>L27/1000</f>
        <v>3500.2</v>
      </c>
      <c r="N28" s="10">
        <f>N27/1000</f>
        <v>3200</v>
      </c>
      <c r="R28" s="8" t="s">
        <v>26</v>
      </c>
      <c r="S28" s="16">
        <f>H34/(S24*12)</f>
        <v>1.3811874422031809</v>
      </c>
    </row>
    <row r="29" spans="1:20" x14ac:dyDescent="0.25">
      <c r="A29" s="8" t="s">
        <v>36</v>
      </c>
      <c r="B29" s="11">
        <v>3302</v>
      </c>
      <c r="C29" s="73" t="s">
        <v>91</v>
      </c>
      <c r="H29" s="11">
        <f>B29</f>
        <v>3302</v>
      </c>
      <c r="L29" s="10">
        <f>L28*11.48</f>
        <v>40182.296000000002</v>
      </c>
      <c r="N29" s="10">
        <f>N28*11.48</f>
        <v>36736</v>
      </c>
    </row>
    <row r="30" spans="1:20" x14ac:dyDescent="0.25">
      <c r="A30" s="73" t="s">
        <v>90</v>
      </c>
      <c r="B30" s="11">
        <v>0</v>
      </c>
      <c r="C30" s="70"/>
      <c r="H30" s="11">
        <f>B30</f>
        <v>0</v>
      </c>
      <c r="L30" s="10"/>
    </row>
    <row r="31" spans="1:20" x14ac:dyDescent="0.25">
      <c r="A31" s="8" t="s">
        <v>27</v>
      </c>
      <c r="B31" s="11">
        <f>SUM(B28:B29)</f>
        <v>415067</v>
      </c>
      <c r="H31" s="10">
        <f>SUM(H28:H29)</f>
        <v>438758</v>
      </c>
    </row>
    <row r="32" spans="1:20" x14ac:dyDescent="0.25">
      <c r="B32" s="11"/>
    </row>
    <row r="33" spans="1:15" x14ac:dyDescent="0.25">
      <c r="A33" s="8" t="s">
        <v>8</v>
      </c>
      <c r="B33" s="11">
        <f>L18</f>
        <v>126427.28000000001</v>
      </c>
      <c r="H33" s="10">
        <f>N18</f>
        <v>124476.41</v>
      </c>
      <c r="L33" s="78" t="s">
        <v>97</v>
      </c>
    </row>
    <row r="34" spans="1:15" x14ac:dyDescent="0.25">
      <c r="A34" s="3" t="s">
        <v>9</v>
      </c>
      <c r="B34" s="6">
        <f>B31-B33</f>
        <v>288639.71999999997</v>
      </c>
      <c r="H34" s="10">
        <f>H31-H33</f>
        <v>314281.58999999997</v>
      </c>
      <c r="L34" s="58"/>
    </row>
    <row r="35" spans="1:15" x14ac:dyDescent="0.25">
      <c r="A35" s="8" t="s">
        <v>10</v>
      </c>
      <c r="B35" s="13">
        <f>B34/B36</f>
        <v>7.2159929999999997E-2</v>
      </c>
      <c r="D35" s="1" t="s">
        <v>10</v>
      </c>
      <c r="E35" s="1" t="s">
        <v>42</v>
      </c>
      <c r="F35" s="1" t="s">
        <v>99</v>
      </c>
      <c r="G35" s="2" t="s">
        <v>98</v>
      </c>
      <c r="H35" s="13">
        <f>H34/H36</f>
        <v>7.8570397499999986E-2</v>
      </c>
      <c r="L35" s="58"/>
    </row>
    <row r="36" spans="1:15" x14ac:dyDescent="0.25">
      <c r="A36" s="3" t="s">
        <v>11</v>
      </c>
      <c r="B36" s="6">
        <v>4000000</v>
      </c>
      <c r="D36" s="79">
        <v>0.06</v>
      </c>
      <c r="E36" s="63">
        <f>B34/D36</f>
        <v>4810662</v>
      </c>
      <c r="F36" s="63">
        <f>E36/12</f>
        <v>400888.5</v>
      </c>
      <c r="G36" s="79">
        <f>H34/E36</f>
        <v>6.5330216506584743E-2</v>
      </c>
      <c r="H36" s="6">
        <f>B36</f>
        <v>4000000</v>
      </c>
      <c r="K36" s="19"/>
      <c r="L36" s="58"/>
      <c r="M36" s="19"/>
      <c r="O36" s="19"/>
    </row>
    <row r="37" spans="1:15" x14ac:dyDescent="0.25">
      <c r="A37" s="8" t="s">
        <v>12</v>
      </c>
      <c r="B37" s="11">
        <f>B36/B2</f>
        <v>250000</v>
      </c>
      <c r="D37" s="79">
        <v>6.25E-2</v>
      </c>
      <c r="E37" s="63">
        <f>B34/D37</f>
        <v>4618235.5199999996</v>
      </c>
      <c r="F37" s="63">
        <f t="shared" ref="F37:F40" si="6">E37/12</f>
        <v>384852.95999999996</v>
      </c>
      <c r="G37" s="79">
        <f>H34/E37</f>
        <v>6.8052308861025784E-2</v>
      </c>
      <c r="H37" s="11">
        <f>H36/B2</f>
        <v>250000</v>
      </c>
      <c r="K37" s="19"/>
      <c r="L37" s="19"/>
      <c r="M37" s="19"/>
      <c r="N37" s="19"/>
      <c r="O37" s="19"/>
    </row>
    <row r="38" spans="1:15" x14ac:dyDescent="0.25">
      <c r="A38" s="8" t="s">
        <v>31</v>
      </c>
      <c r="B38" s="11">
        <f>B36/B3</f>
        <v>276.2812543168946</v>
      </c>
      <c r="D38" s="79">
        <v>6.5000000000000002E-2</v>
      </c>
      <c r="E38" s="63">
        <f>B34/D38</f>
        <v>4440611.0769230761</v>
      </c>
      <c r="F38" s="63">
        <f t="shared" si="6"/>
        <v>370050.92307692301</v>
      </c>
      <c r="G38" s="79">
        <f>H34/E38</f>
        <v>7.0774401215466812E-2</v>
      </c>
      <c r="H38" s="11">
        <f>H36/E22</f>
        <v>303.030303030303</v>
      </c>
      <c r="K38" s="19"/>
      <c r="L38" s="19"/>
      <c r="M38" s="19"/>
      <c r="N38" s="19"/>
      <c r="O38" s="19"/>
    </row>
    <row r="39" spans="1:15" x14ac:dyDescent="0.25">
      <c r="B39" s="14"/>
      <c r="D39" s="79">
        <v>6.7500000000000004E-2</v>
      </c>
      <c r="E39" s="63">
        <f>B34/D39</f>
        <v>4276143.9999999991</v>
      </c>
      <c r="F39" s="63">
        <f t="shared" si="6"/>
        <v>356345.33333333326</v>
      </c>
      <c r="G39" s="79">
        <f>H34/E39</f>
        <v>7.3496493569907853E-2</v>
      </c>
      <c r="K39" s="19"/>
      <c r="L39" s="19"/>
      <c r="M39" s="19"/>
      <c r="N39" s="19"/>
      <c r="O39" s="19"/>
    </row>
    <row r="40" spans="1:15" x14ac:dyDescent="0.25">
      <c r="A40" s="8" t="s">
        <v>13</v>
      </c>
      <c r="B40" s="11">
        <f>S11*12</f>
        <v>227544.48845746694</v>
      </c>
      <c r="D40" s="79">
        <v>7.0000000000000007E-2</v>
      </c>
      <c r="E40" s="63">
        <f>B34/D40</f>
        <v>4123424.5714285704</v>
      </c>
      <c r="F40" s="63">
        <f t="shared" si="6"/>
        <v>343618.7142857142</v>
      </c>
      <c r="G40" s="79">
        <f>H34/E40</f>
        <v>7.6218585924348881E-2</v>
      </c>
      <c r="H40" s="11">
        <f>S24*12</f>
        <v>227544.48845746694</v>
      </c>
      <c r="K40" s="19"/>
      <c r="L40" s="19"/>
      <c r="M40" s="19"/>
      <c r="N40" s="19"/>
      <c r="O40" s="19"/>
    </row>
    <row r="41" spans="1:15" x14ac:dyDescent="0.25">
      <c r="A41" s="3" t="s">
        <v>14</v>
      </c>
      <c r="B41" s="6">
        <f>B34-B40</f>
        <v>61095.231542533031</v>
      </c>
      <c r="H41" s="11">
        <f>H34-H40</f>
        <v>86737.101542533026</v>
      </c>
      <c r="I41" s="10"/>
      <c r="K41" s="19"/>
      <c r="N41" s="19"/>
    </row>
    <row r="42" spans="1:15" x14ac:dyDescent="0.25">
      <c r="A42" s="8" t="s">
        <v>15</v>
      </c>
      <c r="B42" s="13">
        <f>B41/B43</f>
        <v>6.1095231542533032E-2</v>
      </c>
      <c r="H42" s="13">
        <f>H41/H43</f>
        <v>8.6737101542533029E-2</v>
      </c>
      <c r="K42" s="19"/>
    </row>
    <row r="43" spans="1:15" x14ac:dyDescent="0.25">
      <c r="A43" s="3" t="s">
        <v>39</v>
      </c>
      <c r="B43" s="6">
        <f>B36*C43</f>
        <v>1000000</v>
      </c>
      <c r="C43" s="13">
        <v>0.25</v>
      </c>
      <c r="H43" s="10">
        <f>H36*I43</f>
        <v>1000000</v>
      </c>
      <c r="I43" s="13">
        <v>0.25</v>
      </c>
      <c r="K43" s="19"/>
    </row>
    <row r="149" spans="11:11" x14ac:dyDescent="0.25">
      <c r="K149" s="10"/>
    </row>
  </sheetData>
  <mergeCells count="2">
    <mergeCell ref="R5:S5"/>
    <mergeCell ref="R18:S18"/>
  </mergeCells>
  <phoneticPr fontId="24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38DC-DB35-4E74-8CF3-E845AE055E49}">
  <dimension ref="B3:F27"/>
  <sheetViews>
    <sheetView workbookViewId="0">
      <selection activeCell="I18" sqref="I18"/>
    </sheetView>
  </sheetViews>
  <sheetFormatPr defaultRowHeight="15.75" x14ac:dyDescent="0.25"/>
  <cols>
    <col min="3" max="3" width="20" bestFit="1" customWidth="1"/>
    <col min="5" max="6" width="11.625" bestFit="1" customWidth="1"/>
  </cols>
  <sheetData>
    <row r="3" spans="2:6" ht="16.5" thickBot="1" x14ac:dyDescent="0.3">
      <c r="B3" s="21"/>
      <c r="C3" s="21"/>
      <c r="D3" s="21"/>
      <c r="E3" s="22" t="s">
        <v>35</v>
      </c>
      <c r="F3" s="22" t="s">
        <v>29</v>
      </c>
    </row>
    <row r="4" spans="2:6" x14ac:dyDescent="0.25">
      <c r="B4" s="100" t="s">
        <v>41</v>
      </c>
      <c r="C4" s="23" t="s">
        <v>42</v>
      </c>
      <c r="D4" s="23"/>
      <c r="E4" s="24">
        <f>Current!B36</f>
        <v>4000000</v>
      </c>
      <c r="F4" s="25">
        <f>E4</f>
        <v>4000000</v>
      </c>
    </row>
    <row r="5" spans="2:6" x14ac:dyDescent="0.25">
      <c r="B5" s="101"/>
      <c r="C5" s="26" t="s">
        <v>61</v>
      </c>
      <c r="D5" s="26"/>
      <c r="E5" s="44">
        <f>E4/Current!B2</f>
        <v>250000</v>
      </c>
      <c r="F5" s="39">
        <f>E5</f>
        <v>250000</v>
      </c>
    </row>
    <row r="6" spans="2:6" x14ac:dyDescent="0.25">
      <c r="B6" s="101"/>
      <c r="C6" s="26" t="s">
        <v>43</v>
      </c>
      <c r="D6" s="26"/>
      <c r="E6" s="27">
        <f>E4/E11</f>
        <v>9.422850412249705</v>
      </c>
      <c r="F6" s="28">
        <f>F4/F11</f>
        <v>8.8183421516754859</v>
      </c>
    </row>
    <row r="7" spans="2:6" x14ac:dyDescent="0.25">
      <c r="B7" s="101"/>
      <c r="C7" s="26" t="s">
        <v>44</v>
      </c>
      <c r="D7" s="26"/>
      <c r="E7" s="29">
        <f>E17/E4</f>
        <v>7.2159929999999997E-2</v>
      </c>
      <c r="F7" s="30">
        <f>F17/F4</f>
        <v>7.8570397499999986E-2</v>
      </c>
    </row>
    <row r="8" spans="2:6" x14ac:dyDescent="0.25">
      <c r="B8" s="101"/>
      <c r="C8" s="26" t="s">
        <v>45</v>
      </c>
      <c r="D8" s="26"/>
      <c r="E8" s="31">
        <f>E24/E19</f>
        <v>6.1095231542533032E-2</v>
      </c>
      <c r="F8" s="30">
        <f>F24/F19</f>
        <v>8.6737101542533029E-2</v>
      </c>
    </row>
    <row r="9" spans="2:6" ht="16.5" thickBot="1" x14ac:dyDescent="0.3">
      <c r="B9" s="102"/>
      <c r="C9" s="32" t="s">
        <v>46</v>
      </c>
      <c r="D9" s="21"/>
      <c r="E9" s="33">
        <f>E17/E22</f>
        <v>1.2684979625597614</v>
      </c>
      <c r="F9" s="34">
        <f>F17/F22</f>
        <v>1.3811874422031809</v>
      </c>
    </row>
    <row r="10" spans="2:6" ht="16.5" thickBot="1" x14ac:dyDescent="0.3">
      <c r="E10" s="35"/>
      <c r="F10" s="26"/>
    </row>
    <row r="11" spans="2:6" x14ac:dyDescent="0.25">
      <c r="B11" s="100" t="s">
        <v>47</v>
      </c>
      <c r="C11" s="23" t="s">
        <v>48</v>
      </c>
      <c r="D11" s="36"/>
      <c r="E11" s="37">
        <f>Current!B26</f>
        <v>424500</v>
      </c>
      <c r="F11" s="25">
        <f>Current!H26</f>
        <v>453600</v>
      </c>
    </row>
    <row r="12" spans="2:6" x14ac:dyDescent="0.25">
      <c r="B12" s="101"/>
      <c r="C12" s="26" t="s">
        <v>49</v>
      </c>
      <c r="D12" s="26"/>
      <c r="E12" s="50">
        <f>SUM(Current!B29:B29)</f>
        <v>3302</v>
      </c>
      <c r="F12" s="39">
        <f>SUM(Current!H29:H29)</f>
        <v>3302</v>
      </c>
    </row>
    <row r="13" spans="2:6" x14ac:dyDescent="0.25">
      <c r="B13" s="101"/>
      <c r="C13" s="26" t="s">
        <v>50</v>
      </c>
      <c r="D13" s="26"/>
      <c r="E13" s="38">
        <f>E11+E12</f>
        <v>427802</v>
      </c>
      <c r="F13" s="39">
        <f>F11+F12</f>
        <v>456902</v>
      </c>
    </row>
    <row r="14" spans="2:6" x14ac:dyDescent="0.25">
      <c r="B14" s="101"/>
      <c r="C14" s="26" t="s">
        <v>51</v>
      </c>
      <c r="D14" s="26"/>
      <c r="E14" s="38">
        <f>Current!B27</f>
        <v>-12735</v>
      </c>
      <c r="F14" s="39">
        <f>Current!H27</f>
        <v>-18144</v>
      </c>
    </row>
    <row r="15" spans="2:6" x14ac:dyDescent="0.25">
      <c r="B15" s="101"/>
      <c r="C15" s="26" t="s">
        <v>52</v>
      </c>
      <c r="D15" s="26"/>
      <c r="E15" s="38">
        <f>E13+E14</f>
        <v>415067</v>
      </c>
      <c r="F15" s="39">
        <f>F13+F14</f>
        <v>438758</v>
      </c>
    </row>
    <row r="16" spans="2:6" x14ac:dyDescent="0.25">
      <c r="B16" s="101"/>
      <c r="C16" s="26" t="s">
        <v>53</v>
      </c>
      <c r="D16" s="26"/>
      <c r="E16" s="38">
        <f>-Current!L18</f>
        <v>-126427.28000000001</v>
      </c>
      <c r="F16" s="39">
        <f>-Current!N18</f>
        <v>-124476.41</v>
      </c>
    </row>
    <row r="17" spans="2:6" ht="16.5" thickBot="1" x14ac:dyDescent="0.3">
      <c r="B17" s="102"/>
      <c r="C17" s="32" t="s">
        <v>54</v>
      </c>
      <c r="D17" s="21"/>
      <c r="E17" s="40">
        <f>E15+E16</f>
        <v>288639.71999999997</v>
      </c>
      <c r="F17" s="41">
        <f>F15+F16</f>
        <v>314281.58999999997</v>
      </c>
    </row>
    <row r="18" spans="2:6" ht="16.5" thickBot="1" x14ac:dyDescent="0.3">
      <c r="C18" s="26"/>
      <c r="E18" s="35"/>
      <c r="F18" s="26"/>
    </row>
    <row r="19" spans="2:6" x14ac:dyDescent="0.25">
      <c r="B19" s="103" t="s">
        <v>55</v>
      </c>
      <c r="C19" s="23" t="s">
        <v>56</v>
      </c>
      <c r="D19" s="23"/>
      <c r="E19" s="24">
        <f>Current!B43</f>
        <v>1000000</v>
      </c>
      <c r="F19" s="25">
        <f>Current!H43</f>
        <v>1000000</v>
      </c>
    </row>
    <row r="20" spans="2:6" x14ac:dyDescent="0.25">
      <c r="B20" s="104"/>
      <c r="C20" s="26" t="s">
        <v>40</v>
      </c>
      <c r="D20" s="26"/>
      <c r="E20" s="42">
        <f>Current!S6</f>
        <v>3000000</v>
      </c>
      <c r="F20" s="43">
        <f>E20</f>
        <v>3000000</v>
      </c>
    </row>
    <row r="21" spans="2:6" x14ac:dyDescent="0.25">
      <c r="B21" s="104"/>
      <c r="C21" s="52" t="s">
        <v>67</v>
      </c>
      <c r="D21" s="26"/>
      <c r="E21" s="29">
        <f>Current!S7</f>
        <v>6.5000000000000002E-2</v>
      </c>
      <c r="F21" s="30">
        <f>E21</f>
        <v>6.5000000000000002E-2</v>
      </c>
    </row>
    <row r="22" spans="2:6" x14ac:dyDescent="0.25">
      <c r="B22" s="104"/>
      <c r="C22" s="26" t="s">
        <v>57</v>
      </c>
      <c r="D22" s="26"/>
      <c r="E22" s="42">
        <f>Current!B40</f>
        <v>227544.48845746694</v>
      </c>
      <c r="F22" s="39">
        <f>F23*12</f>
        <v>227544.48845746694</v>
      </c>
    </row>
    <row r="23" spans="2:6" x14ac:dyDescent="0.25">
      <c r="B23" s="104"/>
      <c r="C23" s="26" t="s">
        <v>58</v>
      </c>
      <c r="D23" s="26"/>
      <c r="E23" s="44">
        <f>Current!S11</f>
        <v>18962.040704788913</v>
      </c>
      <c r="F23" s="39">
        <f>E23</f>
        <v>18962.040704788913</v>
      </c>
    </row>
    <row r="24" spans="2:6" ht="16.5" thickBot="1" x14ac:dyDescent="0.3">
      <c r="B24" s="105"/>
      <c r="C24" s="32" t="s">
        <v>59</v>
      </c>
      <c r="D24" s="32"/>
      <c r="E24" s="45">
        <f>E17-E22</f>
        <v>61095.231542533031</v>
      </c>
      <c r="F24" s="46">
        <f>F17-F22</f>
        <v>86737.101542533026</v>
      </c>
    </row>
    <row r="25" spans="2:6" x14ac:dyDescent="0.25">
      <c r="B25" s="26"/>
      <c r="C25" s="26"/>
      <c r="D25" s="26"/>
      <c r="E25" s="47"/>
    </row>
    <row r="26" spans="2:6" x14ac:dyDescent="0.25">
      <c r="B26" s="106" t="s">
        <v>60</v>
      </c>
      <c r="C26" s="106"/>
      <c r="D26" s="106"/>
      <c r="E26" s="106"/>
    </row>
    <row r="27" spans="2:6" x14ac:dyDescent="0.25">
      <c r="B27" s="106"/>
      <c r="C27" s="106"/>
      <c r="D27" s="106"/>
      <c r="E27" s="106"/>
    </row>
  </sheetData>
  <mergeCells count="4">
    <mergeCell ref="B4:B9"/>
    <mergeCell ref="B11:B17"/>
    <mergeCell ref="B19:B24"/>
    <mergeCell ref="B26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</vt:lpstr>
      <vt:lpstr>Financial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McGeary</dc:creator>
  <cp:lastModifiedBy>Cameron Formica</cp:lastModifiedBy>
  <cp:lastPrinted>2023-06-06T18:09:36Z</cp:lastPrinted>
  <dcterms:created xsi:type="dcterms:W3CDTF">2017-07-10T01:49:03Z</dcterms:created>
  <dcterms:modified xsi:type="dcterms:W3CDTF">2026-08-18T13:46:34Z</dcterms:modified>
</cp:coreProperties>
</file>