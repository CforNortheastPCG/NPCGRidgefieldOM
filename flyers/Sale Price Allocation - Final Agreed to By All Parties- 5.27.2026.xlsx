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BTEMKIN\BT\Agin, Alex as of 8.22.22\West End Sale\Stanton Real Estate May 2025\Purchase Price Allocation\"/>
    </mc:Choice>
  </mc:AlternateContent>
  <xr:revisionPtr revIDLastSave="0" documentId="13_ncr:1_{1190EA07-C58D-4EF4-9085-37254E1DD01A}" xr6:coauthVersionLast="47" xr6:coauthVersionMax="47" xr10:uidLastSave="{00000000-0000-0000-0000-000000000000}"/>
  <bookViews>
    <workbookView xWindow="-120" yWindow="-120" windowWidth="29040" windowHeight="15720" xr2:uid="{FFC27EB2-ABF3-48EA-85A5-8260CE64AE5F}"/>
  </bookViews>
  <sheets>
    <sheet name="Sheet1" sheetId="1" r:id="rId1"/>
  </sheets>
  <definedNames>
    <definedName name="_xlnm.Print_Area" localSheetId="0">Sheet1!$A$1:$H$42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G36" i="1"/>
  <c r="F36" i="1"/>
  <c r="G35" i="1"/>
  <c r="F35" i="1"/>
  <c r="G34" i="1"/>
  <c r="F34" i="1"/>
  <c r="G32" i="1"/>
  <c r="F32" i="1"/>
  <c r="G37" i="1" l="1"/>
</calcChain>
</file>

<file path=xl/sharedStrings.xml><?xml version="1.0" encoding="utf-8"?>
<sst xmlns="http://schemas.openxmlformats.org/spreadsheetml/2006/main" count="130" uniqueCount="56">
  <si>
    <t>West End Portfolio Sale Price Allocations</t>
  </si>
  <si>
    <t>Cluster</t>
  </si>
  <si>
    <t>Property Location (# property cards)</t>
  </si>
  <si>
    <t>Ownership LLC - Buyer</t>
  </si>
  <si>
    <t>Units</t>
  </si>
  <si>
    <t>Allocation</t>
  </si>
  <si>
    <t>28-30 Beacon St</t>
  </si>
  <si>
    <t>H77</t>
  </si>
  <si>
    <t>SREP Westend 77 LLC &amp; Springdale CT 77 LLC</t>
  </si>
  <si>
    <t>63-65 Evergreen Ave</t>
  </si>
  <si>
    <t>150 South Whitney</t>
  </si>
  <si>
    <t>H81</t>
  </si>
  <si>
    <t>SREP Westend 81 LLC &amp; Springdale CT 81 LLC</t>
  </si>
  <si>
    <t>154 South Whitney (condos)</t>
  </si>
  <si>
    <t>28-30 Kibbe St</t>
  </si>
  <si>
    <t>149-151 Sisson Avenue</t>
  </si>
  <si>
    <t>178-188 South Whitney St</t>
  </si>
  <si>
    <t>240 South Whitney St</t>
  </si>
  <si>
    <t>245-251 South Whitney St (1 of 2)</t>
  </si>
  <si>
    <t>245-251 R South Whitney St (2 of 3)</t>
  </si>
  <si>
    <t>245-251 South Whitney St (3 of 3)</t>
  </si>
  <si>
    <t>250-252 South Whitney St (1 of 2)</t>
  </si>
  <si>
    <t>250-252 R South Whitney St (2 of 2)</t>
  </si>
  <si>
    <t>1802-1804 Broad Street</t>
  </si>
  <si>
    <t>155-163 South Whitney  (1 of 3)</t>
  </si>
  <si>
    <t>155-163 South Whitney  (2 of 3)</t>
  </si>
  <si>
    <t>155-163 South Whitney (3 of 3) + Office</t>
  </si>
  <si>
    <t>224 South Whitney  St</t>
  </si>
  <si>
    <t>226 South Whitney St</t>
  </si>
  <si>
    <t>242-244 South Whitney St</t>
  </si>
  <si>
    <t>9-11 Warrenton Ave</t>
  </si>
  <si>
    <t>39-41 Oxford Street</t>
  </si>
  <si>
    <t>Oxford</t>
  </si>
  <si>
    <t>SREP Westend Oxford LLC &amp; Springdale CT Oxford LLC</t>
  </si>
  <si>
    <t>47 Oxford Street</t>
  </si>
  <si>
    <t>159-161 Sisson Ave</t>
  </si>
  <si>
    <t>159H Sisson Ave</t>
  </si>
  <si>
    <t>163-165 Sisson Ave</t>
  </si>
  <si>
    <t>167-169 Sisson Ave</t>
  </si>
  <si>
    <t>246-248 South Whitney St</t>
  </si>
  <si>
    <t>254-256 South Whitney St</t>
  </si>
  <si>
    <t>TOTAL</t>
  </si>
  <si>
    <t>Ownership LLC - Seller</t>
  </si>
  <si>
    <t>28 Beacon LLC</t>
  </si>
  <si>
    <t>63 Evergreen, LLC</t>
  </si>
  <si>
    <t>Cross Whitney LLC</t>
  </si>
  <si>
    <t>Elm Street Homes LLC</t>
  </si>
  <si>
    <t>Lower Whitney LLC</t>
  </si>
  <si>
    <t>Shallow Creek LLC</t>
  </si>
  <si>
    <t>Upper Whitney LLC</t>
  </si>
  <si>
    <t>West End 19 LLC</t>
  </si>
  <si>
    <t>Whitney Homes LLC</t>
  </si>
  <si>
    <t xml:space="preserve">                                  old</t>
  </si>
  <si>
    <t>Oxford*</t>
  </si>
  <si>
    <t>*Oxford  39   $374,000.00</t>
  </si>
  <si>
    <t xml:space="preserve">   Oxford  47  $445,000.00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</si>
</sst>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44" fontId="2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/>
    <xf numFmtId="0" fontId="0" fillId="0" borderId="2" xfId="0" applyBorder="1"/>
    <xf numFmtId="164" fontId="0" fillId="0" borderId="2" xfId="1" applyNumberFormat="1" applyFont="1" applyFill="1" applyBorder="1"/>
    <xf numFmtId="0" fontId="3" fillId="0" borderId="2" xfId="0" applyFont="1" applyBorder="1"/>
    <xf numFmtId="164" fontId="2" fillId="0" borderId="0" xfId="1" applyNumberFormat="1" applyFont="1" applyFill="1"/>
    <xf numFmtId="164" fontId="0" fillId="0" borderId="0" xfId="0" applyNumberFormat="1"/>
    <xf numFmtId="1" fontId="0" fillId="0" borderId="0" xfId="1" applyNumberFormat="1" applyFont="1"/>
    <xf numFmtId="164" fontId="0" fillId="3" borderId="0" xfId="1" applyNumberFormat="1" applyFont="1" applyFill="1"/>
    <xf numFmtId="44" fontId="0" fillId="0" borderId="0" xfId="0" applyNumberFormat="1"/>
    <xf numFmtId="164" fontId="0" fillId="3" borderId="0" xfId="0" applyNumberFormat="1" applyFill="1"/>
    <xf numFmtId="164" fontId="0" fillId="4" borderId="2" xfId="1" applyNumberFormat="1" applyFont="1" applyFill="1" applyBorder="1"/>
    <xf numFmtId="4" fontId="0" fillId="0" borderId="0" xfId="0" applyNumberFormat="1"/>
    <xf numFmtId="8" fontId="0" fillId="0" borderId="0" xfId="0" applyNumberFormat="1"/>
    <xf numFmtId="0" fontId="0" fillId="0" borderId="1" xfId="0" applyBorder="1" applyAlignment="1">
      <alignment horizontal="center"/>
    </xf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561E-ECEA-4788-8C5C-05DD6EAA9E50}">
  <sheetPr>
    <pageSetUpPr fitToPage="1"/>
  </sheetPr>
  <dimension ref="A1:M41"/>
  <sheetViews>
    <sheetView tabSelected="1" zoomScale="85" zoomScaleNormal="85" workbookViewId="0">
      <selection activeCell="J14" sqref="J14"/>
    </sheetView>
  </sheetViews>
  <sheetFormatPr defaultColWidth="8.85546875" defaultRowHeight="15" x14ac:dyDescent="0.25"/>
  <cols>
    <col min="2" max="2" width="33" bestFit="1" customWidth="1"/>
    <col min="3" max="3" width="6.5703125" bestFit="1" customWidth="1"/>
    <col min="4" max="4" width="19.7109375" customWidth="1"/>
    <col min="5" max="5" width="44.28515625" bestFit="1" customWidth="1"/>
    <col min="6" max="6" width="5.7109375" bestFit="1" customWidth="1"/>
    <col min="7" max="7" width="18.5703125" bestFit="1" customWidth="1"/>
    <col min="8" max="8" width="15.5703125" bestFit="1" customWidth="1"/>
    <col min="9" max="11" width="14.85546875" bestFit="1" customWidth="1"/>
    <col min="12" max="12" width="11.28515625" bestFit="1" customWidth="1"/>
    <col min="13" max="13" width="13.85546875" bestFit="1" customWidth="1"/>
    <col min="14" max="14" width="3.28515625" customWidth="1"/>
    <col min="15" max="15" width="14.7109375" bestFit="1" customWidth="1"/>
    <col min="16" max="16" width="12.7109375" bestFit="1" customWidth="1"/>
    <col min="20" max="20" width="11.28515625" bestFit="1" customWidth="1"/>
    <col min="21" max="21" width="10.42578125" bestFit="1" customWidth="1"/>
  </cols>
  <sheetData>
    <row r="1" spans="1:7" x14ac:dyDescent="0.25">
      <c r="B1" s="18" t="s">
        <v>0</v>
      </c>
      <c r="C1" s="18"/>
      <c r="D1" s="18"/>
      <c r="E1" s="18"/>
      <c r="F1" s="18"/>
      <c r="G1" s="18"/>
    </row>
    <row r="2" spans="1:7" x14ac:dyDescent="0.25">
      <c r="A2" s="1" t="s">
        <v>1</v>
      </c>
      <c r="B2" s="1" t="s">
        <v>2</v>
      </c>
      <c r="C2" s="1"/>
      <c r="D2" s="1" t="s">
        <v>42</v>
      </c>
      <c r="E2" s="1" t="s">
        <v>3</v>
      </c>
      <c r="F2" s="2" t="s">
        <v>4</v>
      </c>
      <c r="G2" s="3" t="s">
        <v>5</v>
      </c>
    </row>
    <row r="3" spans="1:7" x14ac:dyDescent="0.25">
      <c r="A3" s="4">
        <v>10</v>
      </c>
      <c r="B3" s="5" t="s">
        <v>6</v>
      </c>
      <c r="C3" s="5" t="s">
        <v>7</v>
      </c>
      <c r="D3" s="6" t="s">
        <v>43</v>
      </c>
      <c r="E3" s="6" t="s">
        <v>8</v>
      </c>
      <c r="F3" s="5">
        <v>6</v>
      </c>
      <c r="G3" s="7">
        <v>400000</v>
      </c>
    </row>
    <row r="4" spans="1:7" x14ac:dyDescent="0.25">
      <c r="A4" s="4">
        <v>5</v>
      </c>
      <c r="B4" s="5" t="s">
        <v>9</v>
      </c>
      <c r="C4" s="5" t="s">
        <v>7</v>
      </c>
      <c r="D4" s="6" t="s">
        <v>44</v>
      </c>
      <c r="E4" s="6" t="s">
        <v>8</v>
      </c>
      <c r="F4" s="5">
        <v>6</v>
      </c>
      <c r="G4" s="7">
        <v>400000</v>
      </c>
    </row>
    <row r="5" spans="1:7" x14ac:dyDescent="0.25">
      <c r="A5" s="4">
        <v>1</v>
      </c>
      <c r="B5" s="5" t="s">
        <v>10</v>
      </c>
      <c r="C5" s="5" t="s">
        <v>11</v>
      </c>
      <c r="D5" s="6" t="s">
        <v>45</v>
      </c>
      <c r="E5" s="6" t="s">
        <v>12</v>
      </c>
      <c r="F5" s="5">
        <v>13</v>
      </c>
      <c r="G5" s="7">
        <v>1050000</v>
      </c>
    </row>
    <row r="6" spans="1:7" x14ac:dyDescent="0.25">
      <c r="A6" s="4">
        <v>1</v>
      </c>
      <c r="B6" s="5" t="s">
        <v>13</v>
      </c>
      <c r="C6" s="5" t="s">
        <v>11</v>
      </c>
      <c r="D6" s="6" t="s">
        <v>45</v>
      </c>
      <c r="E6" s="6" t="s">
        <v>12</v>
      </c>
      <c r="F6" s="5">
        <v>12</v>
      </c>
      <c r="G6" s="7">
        <v>1000000</v>
      </c>
    </row>
    <row r="7" spans="1:7" x14ac:dyDescent="0.25">
      <c r="A7" s="4">
        <v>8</v>
      </c>
      <c r="B7" s="5" t="s">
        <v>14</v>
      </c>
      <c r="C7" s="5" t="s">
        <v>7</v>
      </c>
      <c r="D7" s="6" t="s">
        <v>46</v>
      </c>
      <c r="E7" s="6" t="s">
        <v>8</v>
      </c>
      <c r="F7" s="5">
        <v>6</v>
      </c>
      <c r="G7" s="15">
        <v>580000</v>
      </c>
    </row>
    <row r="8" spans="1:7" x14ac:dyDescent="0.25">
      <c r="A8" s="4">
        <v>7</v>
      </c>
      <c r="B8" s="5" t="s">
        <v>15</v>
      </c>
      <c r="C8" s="5" t="s">
        <v>7</v>
      </c>
      <c r="D8" s="6" t="s">
        <v>46</v>
      </c>
      <c r="E8" s="6" t="s">
        <v>8</v>
      </c>
      <c r="F8" s="5">
        <v>6</v>
      </c>
      <c r="G8" s="15">
        <v>690000</v>
      </c>
    </row>
    <row r="9" spans="1:7" x14ac:dyDescent="0.25">
      <c r="A9" s="4">
        <v>2</v>
      </c>
      <c r="B9" s="5" t="s">
        <v>16</v>
      </c>
      <c r="C9" s="5" t="s">
        <v>7</v>
      </c>
      <c r="D9" s="6" t="s">
        <v>47</v>
      </c>
      <c r="E9" s="6" t="s">
        <v>8</v>
      </c>
      <c r="F9" s="5">
        <v>11</v>
      </c>
      <c r="G9" s="15">
        <v>855000</v>
      </c>
    </row>
    <row r="10" spans="1:7" x14ac:dyDescent="0.25">
      <c r="A10" s="4">
        <v>3</v>
      </c>
      <c r="B10" s="5" t="s">
        <v>17</v>
      </c>
      <c r="C10" s="5" t="s">
        <v>11</v>
      </c>
      <c r="D10" s="6" t="s">
        <v>47</v>
      </c>
      <c r="E10" s="6" t="s">
        <v>12</v>
      </c>
      <c r="F10" s="5">
        <v>5</v>
      </c>
      <c r="G10" s="7">
        <v>416875</v>
      </c>
    </row>
    <row r="11" spans="1:7" x14ac:dyDescent="0.25">
      <c r="A11" s="4">
        <v>3</v>
      </c>
      <c r="B11" s="5" t="s">
        <v>18</v>
      </c>
      <c r="C11" s="5" t="s">
        <v>11</v>
      </c>
      <c r="D11" s="6" t="s">
        <v>47</v>
      </c>
      <c r="E11" s="6" t="s">
        <v>12</v>
      </c>
      <c r="F11" s="5">
        <v>6</v>
      </c>
      <c r="G11" s="7">
        <v>500250</v>
      </c>
    </row>
    <row r="12" spans="1:7" x14ac:dyDescent="0.25">
      <c r="A12" s="4">
        <v>3</v>
      </c>
      <c r="B12" s="5" t="s">
        <v>19</v>
      </c>
      <c r="C12" s="5" t="s">
        <v>11</v>
      </c>
      <c r="D12" s="6" t="s">
        <v>47</v>
      </c>
      <c r="E12" s="6" t="s">
        <v>12</v>
      </c>
      <c r="F12" s="5">
        <v>2</v>
      </c>
      <c r="G12" s="7">
        <v>166750</v>
      </c>
    </row>
    <row r="13" spans="1:7" x14ac:dyDescent="0.25">
      <c r="A13" s="4">
        <v>3</v>
      </c>
      <c r="B13" s="5" t="s">
        <v>20</v>
      </c>
      <c r="C13" s="5" t="s">
        <v>11</v>
      </c>
      <c r="D13" s="6" t="s">
        <v>47</v>
      </c>
      <c r="E13" s="6" t="s">
        <v>12</v>
      </c>
      <c r="F13" s="5">
        <v>5</v>
      </c>
      <c r="G13" s="7">
        <v>416875</v>
      </c>
    </row>
    <row r="14" spans="1:7" x14ac:dyDescent="0.25">
      <c r="A14" s="4">
        <v>3</v>
      </c>
      <c r="B14" s="5" t="s">
        <v>21</v>
      </c>
      <c r="C14" s="5" t="s">
        <v>11</v>
      </c>
      <c r="D14" s="6" t="s">
        <v>47</v>
      </c>
      <c r="E14" s="6" t="s">
        <v>12</v>
      </c>
      <c r="F14" s="5">
        <v>6</v>
      </c>
      <c r="G14" s="7">
        <v>500250</v>
      </c>
    </row>
    <row r="15" spans="1:7" x14ac:dyDescent="0.25">
      <c r="A15" s="4">
        <v>3</v>
      </c>
      <c r="B15" s="5" t="s">
        <v>22</v>
      </c>
      <c r="C15" s="5" t="s">
        <v>11</v>
      </c>
      <c r="D15" s="6" t="s">
        <v>47</v>
      </c>
      <c r="E15" s="6" t="s">
        <v>12</v>
      </c>
      <c r="F15" s="5">
        <v>1</v>
      </c>
      <c r="G15" s="7">
        <v>83375</v>
      </c>
    </row>
    <row r="16" spans="1:7" x14ac:dyDescent="0.25">
      <c r="A16" s="4">
        <v>9</v>
      </c>
      <c r="B16" s="5" t="s">
        <v>23</v>
      </c>
      <c r="C16" s="5" t="s">
        <v>7</v>
      </c>
      <c r="D16" s="6" t="s">
        <v>48</v>
      </c>
      <c r="E16" s="6" t="s">
        <v>8</v>
      </c>
      <c r="F16" s="5">
        <v>12</v>
      </c>
      <c r="G16" s="15">
        <v>1010000</v>
      </c>
    </row>
    <row r="17" spans="1:8" x14ac:dyDescent="0.25">
      <c r="A17" s="4">
        <v>1</v>
      </c>
      <c r="B17" s="5" t="s">
        <v>24</v>
      </c>
      <c r="C17" s="5" t="s">
        <v>11</v>
      </c>
      <c r="D17" s="6" t="s">
        <v>49</v>
      </c>
      <c r="E17" s="6" t="s">
        <v>12</v>
      </c>
      <c r="F17" s="5">
        <v>6</v>
      </c>
      <c r="G17" s="7">
        <v>480000</v>
      </c>
    </row>
    <row r="18" spans="1:8" x14ac:dyDescent="0.25">
      <c r="A18" s="4">
        <v>1</v>
      </c>
      <c r="B18" s="5" t="s">
        <v>25</v>
      </c>
      <c r="C18" s="5" t="s">
        <v>11</v>
      </c>
      <c r="D18" s="6" t="s">
        <v>49</v>
      </c>
      <c r="E18" s="6" t="s">
        <v>12</v>
      </c>
      <c r="F18" s="5">
        <v>6</v>
      </c>
      <c r="G18" s="7">
        <v>480000</v>
      </c>
    </row>
    <row r="19" spans="1:8" x14ac:dyDescent="0.25">
      <c r="A19" s="4">
        <v>1</v>
      </c>
      <c r="B19" s="5" t="s">
        <v>26</v>
      </c>
      <c r="C19" s="5" t="s">
        <v>11</v>
      </c>
      <c r="D19" s="6" t="s">
        <v>49</v>
      </c>
      <c r="E19" s="6" t="s">
        <v>12</v>
      </c>
      <c r="F19" s="5">
        <v>5</v>
      </c>
      <c r="G19" s="7">
        <v>400000</v>
      </c>
    </row>
    <row r="20" spans="1:8" x14ac:dyDescent="0.25">
      <c r="A20" s="4">
        <v>4</v>
      </c>
      <c r="B20" s="5" t="s">
        <v>27</v>
      </c>
      <c r="C20" s="5" t="s">
        <v>7</v>
      </c>
      <c r="D20" s="6" t="s">
        <v>49</v>
      </c>
      <c r="E20" s="6" t="s">
        <v>8</v>
      </c>
      <c r="F20" s="5">
        <v>6</v>
      </c>
      <c r="G20" s="7">
        <v>532305</v>
      </c>
    </row>
    <row r="21" spans="1:8" x14ac:dyDescent="0.25">
      <c r="A21" s="4">
        <v>4</v>
      </c>
      <c r="B21" s="5" t="s">
        <v>28</v>
      </c>
      <c r="C21" s="5" t="s">
        <v>7</v>
      </c>
      <c r="D21" s="6" t="s">
        <v>49</v>
      </c>
      <c r="E21" s="6" t="s">
        <v>8</v>
      </c>
      <c r="F21" s="5">
        <v>12</v>
      </c>
      <c r="G21" s="7">
        <v>1064607</v>
      </c>
    </row>
    <row r="22" spans="1:8" x14ac:dyDescent="0.25">
      <c r="A22" s="4">
        <v>3</v>
      </c>
      <c r="B22" s="5" t="s">
        <v>29</v>
      </c>
      <c r="C22" s="5" t="s">
        <v>11</v>
      </c>
      <c r="D22" s="6" t="s">
        <v>49</v>
      </c>
      <c r="E22" s="6" t="s">
        <v>12</v>
      </c>
      <c r="F22" s="5">
        <v>9</v>
      </c>
      <c r="G22" s="7">
        <v>750375</v>
      </c>
    </row>
    <row r="23" spans="1:8" x14ac:dyDescent="0.25">
      <c r="A23" s="4">
        <v>6</v>
      </c>
      <c r="B23" s="5" t="s">
        <v>30</v>
      </c>
      <c r="C23" s="5" t="s">
        <v>7</v>
      </c>
      <c r="D23" s="6" t="s">
        <v>50</v>
      </c>
      <c r="E23" s="6" t="s">
        <v>8</v>
      </c>
      <c r="F23" s="5">
        <v>3</v>
      </c>
      <c r="G23" s="7">
        <v>294650</v>
      </c>
    </row>
    <row r="24" spans="1:8" x14ac:dyDescent="0.25">
      <c r="A24" s="4">
        <v>11</v>
      </c>
      <c r="B24" s="5" t="s">
        <v>31</v>
      </c>
      <c r="C24" s="5" t="s">
        <v>32</v>
      </c>
      <c r="D24" s="6" t="s">
        <v>50</v>
      </c>
      <c r="E24" s="6" t="s">
        <v>33</v>
      </c>
      <c r="F24" s="5">
        <v>3</v>
      </c>
      <c r="G24" s="15">
        <v>374000</v>
      </c>
    </row>
    <row r="25" spans="1:8" x14ac:dyDescent="0.25">
      <c r="A25" s="4">
        <v>12</v>
      </c>
      <c r="B25" s="5" t="s">
        <v>34</v>
      </c>
      <c r="C25" s="5" t="s">
        <v>32</v>
      </c>
      <c r="D25" s="6" t="s">
        <v>50</v>
      </c>
      <c r="E25" s="6" t="s">
        <v>33</v>
      </c>
      <c r="F25" s="5">
        <v>4</v>
      </c>
      <c r="G25" s="15">
        <v>445000</v>
      </c>
    </row>
    <row r="26" spans="1:8" x14ac:dyDescent="0.25">
      <c r="A26" s="4">
        <v>6</v>
      </c>
      <c r="B26" s="5" t="s">
        <v>35</v>
      </c>
      <c r="C26" s="5" t="s">
        <v>7</v>
      </c>
      <c r="D26" s="6" t="s">
        <v>50</v>
      </c>
      <c r="E26" s="6" t="s">
        <v>8</v>
      </c>
      <c r="F26" s="5">
        <v>3</v>
      </c>
      <c r="G26" s="7">
        <v>294650</v>
      </c>
    </row>
    <row r="27" spans="1:8" x14ac:dyDescent="0.25">
      <c r="A27" s="4">
        <v>6</v>
      </c>
      <c r="B27" s="5" t="s">
        <v>36</v>
      </c>
      <c r="C27" s="5" t="s">
        <v>7</v>
      </c>
      <c r="D27" s="6" t="s">
        <v>50</v>
      </c>
      <c r="E27" s="6" t="s">
        <v>8</v>
      </c>
      <c r="F27" s="8">
        <v>0</v>
      </c>
      <c r="G27" s="15">
        <v>16988</v>
      </c>
    </row>
    <row r="28" spans="1:8" x14ac:dyDescent="0.25">
      <c r="A28" s="4">
        <v>6</v>
      </c>
      <c r="B28" s="5" t="s">
        <v>37</v>
      </c>
      <c r="C28" s="5" t="s">
        <v>7</v>
      </c>
      <c r="D28" s="6" t="s">
        <v>50</v>
      </c>
      <c r="E28" s="6" t="s">
        <v>8</v>
      </c>
      <c r="F28" s="5">
        <v>3</v>
      </c>
      <c r="G28" s="7">
        <v>294650</v>
      </c>
    </row>
    <row r="29" spans="1:8" x14ac:dyDescent="0.25">
      <c r="A29" s="4">
        <v>6</v>
      </c>
      <c r="B29" s="5" t="s">
        <v>38</v>
      </c>
      <c r="C29" s="5" t="s">
        <v>7</v>
      </c>
      <c r="D29" s="6" t="s">
        <v>50</v>
      </c>
      <c r="E29" s="6" t="s">
        <v>8</v>
      </c>
      <c r="F29" s="5">
        <v>3</v>
      </c>
      <c r="G29" s="7">
        <v>294650</v>
      </c>
    </row>
    <row r="30" spans="1:8" x14ac:dyDescent="0.25">
      <c r="A30" s="4">
        <v>3</v>
      </c>
      <c r="B30" s="5" t="s">
        <v>39</v>
      </c>
      <c r="C30" s="5" t="s">
        <v>11</v>
      </c>
      <c r="D30" s="6" t="s">
        <v>51</v>
      </c>
      <c r="E30" s="6" t="s">
        <v>12</v>
      </c>
      <c r="F30" s="5">
        <v>3</v>
      </c>
      <c r="G30" s="7">
        <v>245125</v>
      </c>
    </row>
    <row r="31" spans="1:8" x14ac:dyDescent="0.25">
      <c r="A31" s="4">
        <v>3</v>
      </c>
      <c r="B31" s="5" t="s">
        <v>40</v>
      </c>
      <c r="C31" s="5" t="s">
        <v>11</v>
      </c>
      <c r="D31" s="6" t="s">
        <v>51</v>
      </c>
      <c r="E31" s="6" t="s">
        <v>12</v>
      </c>
      <c r="F31" s="5">
        <v>3</v>
      </c>
      <c r="G31" s="7">
        <v>245125</v>
      </c>
    </row>
    <row r="32" spans="1:8" x14ac:dyDescent="0.25">
      <c r="F32">
        <f>SUM(F3:F31)</f>
        <v>166</v>
      </c>
      <c r="G32" s="9">
        <f>SUM(G3:G31)</f>
        <v>14281500</v>
      </c>
      <c r="H32" s="9"/>
    </row>
    <row r="33" spans="2:13" x14ac:dyDescent="0.25">
      <c r="G33" s="10"/>
      <c r="H33" t="s">
        <v>52</v>
      </c>
    </row>
    <row r="34" spans="2:13" x14ac:dyDescent="0.25">
      <c r="B34" t="s">
        <v>11</v>
      </c>
      <c r="F34" s="11">
        <f>SUM(F5:F6,F10:F15,F17:F19,F22,F30:F31)</f>
        <v>82</v>
      </c>
      <c r="G34" s="12">
        <f>SUM(G5:G6,G10:G15,G17:G19,G22,G30:G31)</f>
        <v>6735000</v>
      </c>
      <c r="H34" s="16">
        <v>6735000</v>
      </c>
      <c r="I34" s="13"/>
      <c r="J34" s="13"/>
      <c r="K34" s="13"/>
      <c r="M34" s="10"/>
    </row>
    <row r="35" spans="2:13" x14ac:dyDescent="0.25">
      <c r="B35" t="s">
        <v>7</v>
      </c>
      <c r="F35" s="11">
        <f>SUM(F3:F4,F7:F9,F16,F20:F21,F23,F26:F29)</f>
        <v>77</v>
      </c>
      <c r="G35" s="12">
        <f>SUM(G3:G4,G7:G9,G16,G20:G21,G23,G26:G29)</f>
        <v>6727500</v>
      </c>
      <c r="H35" s="16">
        <v>6675000</v>
      </c>
    </row>
    <row r="36" spans="2:13" x14ac:dyDescent="0.25">
      <c r="B36" t="s">
        <v>53</v>
      </c>
      <c r="F36" s="11">
        <f>SUM(F24:F25)</f>
        <v>7</v>
      </c>
      <c r="G36" s="12">
        <f>SUM(G24:G25)</f>
        <v>819000</v>
      </c>
      <c r="H36" s="16">
        <v>871500</v>
      </c>
    </row>
    <row r="37" spans="2:13" x14ac:dyDescent="0.25">
      <c r="B37" t="s">
        <v>41</v>
      </c>
      <c r="G37" s="14">
        <f>SUM(G34:G36)</f>
        <v>14281500</v>
      </c>
      <c r="H37" s="16">
        <f>SUM(H34:H36)</f>
        <v>14281500</v>
      </c>
    </row>
    <row r="40" spans="2:13" x14ac:dyDescent="0.25">
      <c r="B40" t="s">
        <v>54</v>
      </c>
      <c r="D40" s="17"/>
    </row>
    <row r="41" spans="2:13" x14ac:dyDescent="0.25">
      <c r="B41" t="s">
        <v>55</v>
      </c>
      <c r="D41" s="17"/>
    </row>
  </sheetData>
  <mergeCells count="1">
    <mergeCell ref="B1:G1"/>
  </mergeCells>
  <conditionalFormatting sqref="G34">
    <cfRule type="cellIs" dxfId="3" priority="4" operator="equal">
      <formula>6735000</formula>
    </cfRule>
  </conditionalFormatting>
  <conditionalFormatting sqref="G35">
    <cfRule type="cellIs" dxfId="2" priority="2" operator="equal">
      <formula>6727500</formula>
    </cfRule>
  </conditionalFormatting>
  <conditionalFormatting sqref="G36">
    <cfRule type="cellIs" dxfId="1" priority="3" operator="equal">
      <formula>819000</formula>
    </cfRule>
  </conditionalFormatting>
  <conditionalFormatting sqref="G37">
    <cfRule type="cellIs" dxfId="0" priority="1" operator="equal">
      <formula>14281500</formula>
    </cfRule>
  </conditionalFormatting>
  <pageMargins left="0.7" right="0.7" top="0.75" bottom="0.75" header="0.3" footer="0.3"/>
  <pageSetup scale="5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899d66-0c6f-4f0b-8486-16872010b733">
      <Terms xmlns="http://schemas.microsoft.com/office/infopath/2007/PartnerControls"/>
    </lcf76f155ced4ddcb4097134ff3c332f>
    <TaxCatchAll xmlns="41f5e303-920b-4878-bb9b-2626c3b0ea6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699A320DEA04EB6E9EBA53CA0CE9D" ma:contentTypeVersion="18" ma:contentTypeDescription="Create a new document." ma:contentTypeScope="" ma:versionID="8dc3aab3a8287a074c437343e6df6544">
  <xsd:schema xmlns:xsd="http://www.w3.org/2001/XMLSchema" xmlns:xs="http://www.w3.org/2001/XMLSchema" xmlns:p="http://schemas.microsoft.com/office/2006/metadata/properties" xmlns:ns2="e9899d66-0c6f-4f0b-8486-16872010b733" xmlns:ns3="41f5e303-920b-4878-bb9b-2626c3b0ea69" targetNamespace="http://schemas.microsoft.com/office/2006/metadata/properties" ma:root="true" ma:fieldsID="3b1250b5360f6cba3ff246820e179f08" ns2:_="" ns3:_="">
    <xsd:import namespace="e9899d66-0c6f-4f0b-8486-16872010b733"/>
    <xsd:import namespace="41f5e303-920b-4878-bb9b-2626c3b0ea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899d66-0c6f-4f0b-8486-16872010b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bb5afb6-9625-41dd-b84b-6b1bf2da4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5e303-920b-4878-bb9b-2626c3b0ea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0abc7cd-4a6b-4e17-ad36-226be6b3332f}" ma:internalName="TaxCatchAll" ma:showField="CatchAllData" ma:web="41f5e303-920b-4878-bb9b-2626c3b0ea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1FACA7-C23B-4DB9-B3E0-39B17F08FD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9FF4CB-EEAE-4686-8C34-ED18421DD1F1}">
  <ds:schemaRefs>
    <ds:schemaRef ds:uri="http://schemas.microsoft.com/office/2006/metadata/properties"/>
    <ds:schemaRef ds:uri="http://schemas.microsoft.com/office/infopath/2007/PartnerControls"/>
    <ds:schemaRef ds:uri="e9899d66-0c6f-4f0b-8486-16872010b733"/>
    <ds:schemaRef ds:uri="41f5e303-920b-4878-bb9b-2626c3b0ea69"/>
  </ds:schemaRefs>
</ds:datastoreItem>
</file>

<file path=customXml/itemProps3.xml><?xml version="1.0" encoding="utf-8"?>
<ds:datastoreItem xmlns:ds="http://schemas.openxmlformats.org/officeDocument/2006/customXml" ds:itemID="{6486B202-FD2F-40E2-8591-1686F26DE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899d66-0c6f-4f0b-8486-16872010b733"/>
    <ds:schemaRef ds:uri="41f5e303-920b-4878-bb9b-2626c3b0ea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Frasz</dc:creator>
  <cp:lastModifiedBy>Sue Phelps</cp:lastModifiedBy>
  <cp:lastPrinted>2026-05-28T17:36:07Z</cp:lastPrinted>
  <dcterms:created xsi:type="dcterms:W3CDTF">2026-05-27T18:24:43Z</dcterms:created>
  <dcterms:modified xsi:type="dcterms:W3CDTF">2026-06-22T18:56:31Z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0x010100DA1699A320DEA04EB6E9EBA53CA0CE9D</vt:lpwstr>
  </property>
  <property fmtid="{D5CDD505-2E9C-101B-9397-08002B2CF9AE}" pid="3" name="MediaServiceImageTags">
    <vt:lpwstr/>
  </property>
</Properties>
</file>